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e7f8d1bd5ce291/Desktop/Inofsys FM/"/>
    </mc:Choice>
  </mc:AlternateContent>
  <xr:revisionPtr revIDLastSave="397" documentId="8_{EB7C0254-2FB2-4654-85D4-C41C770F7973}" xr6:coauthVersionLast="47" xr6:coauthVersionMax="47" xr10:uidLastSave="{3E621A78-F39B-4729-956E-1121B09EF83D}"/>
  <bookViews>
    <workbookView xWindow="-108" yWindow="-108" windowWidth="23256" windowHeight="12456" xr2:uid="{95038D17-96B1-4ED4-AB31-E4DB8E41F963}"/>
  </bookViews>
  <sheets>
    <sheet name="Comapany Value" sheetId="1" r:id="rId1"/>
    <sheet name="Data" sheetId="2" r:id="rId2"/>
    <sheet name="Football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" i="1" l="1"/>
  <c r="O23" i="1"/>
  <c r="N23" i="1"/>
  <c r="P23" i="1"/>
  <c r="N30" i="1"/>
  <c r="N28" i="1"/>
  <c r="P8" i="1"/>
  <c r="O8" i="1"/>
  <c r="N8" i="1"/>
  <c r="H8" i="1"/>
  <c r="I3" i="2"/>
  <c r="D8" i="1"/>
  <c r="N24" i="1"/>
  <c r="J9" i="1"/>
  <c r="K9" i="1"/>
  <c r="L9" i="1"/>
  <c r="J10" i="1"/>
  <c r="L10" i="1"/>
  <c r="J11" i="1"/>
  <c r="K11" i="1"/>
  <c r="L11" i="1"/>
  <c r="J12" i="1"/>
  <c r="K12" i="1"/>
  <c r="L12" i="1"/>
  <c r="L8" i="1"/>
  <c r="J8" i="1"/>
  <c r="G9" i="1"/>
  <c r="G10" i="1"/>
  <c r="G11" i="1"/>
  <c r="I4" i="2"/>
  <c r="I5" i="2"/>
  <c r="I6" i="2"/>
  <c r="I7" i="2"/>
  <c r="G12" i="1" s="1"/>
  <c r="G8" i="1"/>
  <c r="E9" i="1"/>
  <c r="E10" i="1"/>
  <c r="E11" i="1"/>
  <c r="E12" i="1"/>
  <c r="E8" i="1"/>
  <c r="O26" i="1" s="1"/>
  <c r="D9" i="1"/>
  <c r="D10" i="1"/>
  <c r="D11" i="1"/>
  <c r="D12" i="1"/>
  <c r="B9" i="1"/>
  <c r="B10" i="1"/>
  <c r="B11" i="1"/>
  <c r="B12" i="1"/>
  <c r="B8" i="1"/>
  <c r="L3" i="2"/>
  <c r="K8" i="1" s="1"/>
  <c r="L5" i="2"/>
  <c r="K10" i="1" s="1"/>
  <c r="L6" i="2"/>
  <c r="L7" i="2"/>
  <c r="L4" i="2"/>
  <c r="F3" i="2"/>
  <c r="J3" i="2" s="1"/>
  <c r="F5" i="2"/>
  <c r="J5" i="2" s="1"/>
  <c r="F6" i="2"/>
  <c r="J6" i="2" s="1"/>
  <c r="F7" i="2"/>
  <c r="J7" i="2" s="1"/>
  <c r="F4" i="2"/>
  <c r="J4" i="2" s="1"/>
  <c r="O24" i="1" l="1"/>
  <c r="P24" i="1"/>
  <c r="N26" i="1"/>
  <c r="P26" i="1"/>
  <c r="F10" i="1"/>
  <c r="H10" i="1" s="1"/>
  <c r="O10" i="1" s="1"/>
  <c r="F9" i="1"/>
  <c r="H9" i="1" s="1"/>
  <c r="N9" i="1" s="1"/>
  <c r="O9" i="1"/>
  <c r="P9" i="1"/>
  <c r="N10" i="1"/>
  <c r="P10" i="1"/>
  <c r="F8" i="1"/>
  <c r="F12" i="1"/>
  <c r="F11" i="1"/>
  <c r="H12" i="1" l="1"/>
  <c r="P12" i="1"/>
  <c r="H11" i="1"/>
  <c r="P11" i="1"/>
  <c r="P19" i="1" l="1"/>
  <c r="P15" i="1"/>
  <c r="P16" i="1"/>
  <c r="P14" i="1"/>
  <c r="P18" i="1"/>
  <c r="P17" i="1"/>
  <c r="N11" i="1"/>
  <c r="O11" i="1"/>
  <c r="N12" i="1"/>
  <c r="O12" i="1"/>
  <c r="N14" i="1" l="1"/>
  <c r="N15" i="1"/>
  <c r="N18" i="1"/>
  <c r="N19" i="1"/>
  <c r="N16" i="1"/>
  <c r="N17" i="1"/>
  <c r="N25" i="1" s="1"/>
  <c r="O15" i="1"/>
  <c r="O14" i="1"/>
  <c r="O18" i="1"/>
  <c r="O16" i="1"/>
  <c r="O17" i="1"/>
  <c r="O25" i="1" s="1"/>
  <c r="O28" i="1" s="1"/>
  <c r="O30" i="1" s="1"/>
  <c r="O19" i="1"/>
  <c r="P28" i="1"/>
  <c r="P30" i="1" s="1"/>
</calcChain>
</file>

<file path=xl/sharedStrings.xml><?xml version="1.0" encoding="utf-8"?>
<sst xmlns="http://schemas.openxmlformats.org/spreadsheetml/2006/main" count="68" uniqueCount="59">
  <si>
    <t>Comparable Company Valuation</t>
  </si>
  <si>
    <t>Share Price</t>
  </si>
  <si>
    <t>Share Outstanding</t>
  </si>
  <si>
    <t>Equity Value</t>
  </si>
  <si>
    <t>Net Debt</t>
  </si>
  <si>
    <t>Enterprise Value</t>
  </si>
  <si>
    <t>Market Data</t>
  </si>
  <si>
    <t>Revenue</t>
  </si>
  <si>
    <t>EBITDA</t>
  </si>
  <si>
    <t>Net Income</t>
  </si>
  <si>
    <t>Valuation</t>
  </si>
  <si>
    <t>Financials</t>
  </si>
  <si>
    <t xml:space="preserve">Company </t>
  </si>
  <si>
    <t>Ticker</t>
  </si>
  <si>
    <t>S.No.</t>
  </si>
  <si>
    <t>Name</t>
  </si>
  <si>
    <t>CMP Rs.</t>
  </si>
  <si>
    <t>No. Eq. Shares Cr.</t>
  </si>
  <si>
    <t>Debt Rs.Cr.</t>
  </si>
  <si>
    <t>Cash End Rs.Cr.</t>
  </si>
  <si>
    <t>Sales Rs.Cr.</t>
  </si>
  <si>
    <t>NP 12M Rs.Cr.</t>
  </si>
  <si>
    <t>EBIT 12M Rs.Cr.</t>
  </si>
  <si>
    <t>Dep 12M Rs.Cr.</t>
  </si>
  <si>
    <t>TCS</t>
  </si>
  <si>
    <t>Infosys</t>
  </si>
  <si>
    <t>HCL Technologies</t>
  </si>
  <si>
    <t>Wipro</t>
  </si>
  <si>
    <t>Tech Mahindra</t>
  </si>
  <si>
    <t>Market Capitalization</t>
  </si>
  <si>
    <t>EV</t>
  </si>
  <si>
    <t>EV/Revenue</t>
  </si>
  <si>
    <t>P/E</t>
  </si>
  <si>
    <t>EV/EBITDA</t>
  </si>
  <si>
    <t>High</t>
  </si>
  <si>
    <t>75th Percentile</t>
  </si>
  <si>
    <t>Median</t>
  </si>
  <si>
    <t>Average</t>
  </si>
  <si>
    <t>25th Percentile</t>
  </si>
  <si>
    <t>Low</t>
  </si>
  <si>
    <t>Infosys Comparable Valuation</t>
  </si>
  <si>
    <t>Implied Enterprise Value</t>
  </si>
  <si>
    <t xml:space="preserve">Net Debt </t>
  </si>
  <si>
    <t>Implied Market Value</t>
  </si>
  <si>
    <t>Implied Value Per Share</t>
  </si>
  <si>
    <t>Amount in Crores</t>
  </si>
  <si>
    <t>Source: Screener.in</t>
  </si>
  <si>
    <t>Comps</t>
  </si>
  <si>
    <t>DCF Bear</t>
  </si>
  <si>
    <t>DCF Base</t>
  </si>
  <si>
    <t>DCF Bull</t>
  </si>
  <si>
    <t>52week High/Low</t>
  </si>
  <si>
    <t>OpenLow</t>
  </si>
  <si>
    <t>OpenHigh</t>
  </si>
  <si>
    <t>Football Field Analysis - Data</t>
  </si>
  <si>
    <t>INFY</t>
  </si>
  <si>
    <t>WIPRO</t>
  </si>
  <si>
    <t>HCLTECH</t>
  </si>
  <si>
    <t>TECHHM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</si>
</sst>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\x"/>
    <numFmt numFmtId="166" formatCode="#,##0.0;\(#,##0.0\)"/>
    <numFmt numFmtId="168" formatCode="#,##0.000"/>
  </numFmts>
  <fonts count="5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/>
    <xf numFmtId="0" fontId="1" fillId="2" borderId="0" xfId="0" applyFont="1" applyFill="1"/>
    <xf numFmtId="2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righ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/>
    </xf>
    <xf numFmtId="0" fontId="0" fillId="3" borderId="0" xfId="0" applyFill="1"/>
    <xf numFmtId="0" fontId="0" fillId="4" borderId="3" xfId="0" applyFill="1" applyBorder="1" applyAlignment="1">
      <alignment horizontal="left"/>
    </xf>
    <xf numFmtId="164" fontId="0" fillId="4" borderId="3" xfId="0" applyNumberFormat="1" applyFill="1" applyBorder="1"/>
    <xf numFmtId="4" fontId="0" fillId="4" borderId="3" xfId="0" applyNumberFormat="1" applyFill="1" applyBorder="1"/>
    <xf numFmtId="0" fontId="0" fillId="4" borderId="3" xfId="0" applyFill="1" applyBorder="1" applyAlignment="1">
      <alignment horizontal="right"/>
    </xf>
    <xf numFmtId="165" fontId="0" fillId="4" borderId="3" xfId="0" applyNumberFormat="1" applyFill="1" applyBorder="1" applyAlignment="1">
      <alignment horizontal="right"/>
    </xf>
    <xf numFmtId="0" fontId="0" fillId="0" borderId="3" xfId="0" applyBorder="1" applyAlignment="1">
      <alignment horizontal="left"/>
    </xf>
    <xf numFmtId="164" fontId="0" fillId="0" borderId="3" xfId="0" applyNumberFormat="1" applyBorder="1"/>
    <xf numFmtId="4" fontId="0" fillId="0" borderId="3" xfId="0" applyNumberFormat="1" applyBorder="1"/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3" fillId="2" borderId="0" xfId="0" applyFont="1" applyFill="1"/>
    <xf numFmtId="166" fontId="0" fillId="0" borderId="0" xfId="0" applyNumberFormat="1"/>
    <xf numFmtId="0" fontId="2" fillId="4" borderId="4" xfId="0" applyFont="1" applyFill="1" applyBorder="1"/>
    <xf numFmtId="166" fontId="2" fillId="4" borderId="4" xfId="0" applyNumberFormat="1" applyFont="1" applyFill="1" applyBorder="1"/>
    <xf numFmtId="0" fontId="0" fillId="4" borderId="3" xfId="0" applyFill="1" applyBorder="1"/>
    <xf numFmtId="165" fontId="0" fillId="4" borderId="3" xfId="0" applyNumberFormat="1" applyFill="1" applyBorder="1"/>
    <xf numFmtId="0" fontId="2" fillId="4" borderId="3" xfId="0" applyFont="1" applyFill="1" applyBorder="1"/>
    <xf numFmtId="165" fontId="2" fillId="4" borderId="3" xfId="0" applyNumberFormat="1" applyFont="1" applyFill="1" applyBorder="1"/>
    <xf numFmtId="0" fontId="0" fillId="0" borderId="3" xfId="0" applyBorder="1"/>
    <xf numFmtId="166" fontId="0" fillId="0" borderId="3" xfId="0" applyNumberFormat="1" applyBorder="1"/>
    <xf numFmtId="0" fontId="4" fillId="0" borderId="0" xfId="0" applyFont="1"/>
    <xf numFmtId="0" fontId="1" fillId="3" borderId="0" xfId="0" applyFont="1" applyFill="1"/>
    <xf numFmtId="0" fontId="1" fillId="2" borderId="2" xfId="0" applyFont="1" applyFill="1" applyBorder="1" applyAlignment="1">
      <alignment horizontal="center"/>
    </xf>
    <xf numFmtId="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002060"/>
                </a:solidFill>
              </a:rPr>
              <a:t>Valuation</a:t>
            </a:r>
            <a:r>
              <a:rPr lang="en-IN" sz="1200" b="1" baseline="0">
                <a:solidFill>
                  <a:srgbClr val="002060"/>
                </a:solidFill>
              </a:rPr>
              <a:t> Summary- Football Field Analysis (Rs.)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52week High/Low</c:v>
                </c:pt>
              </c:strCache>
            </c:strRef>
          </c:cat>
          <c:val>
            <c:numRef>
              <c:f>'Football Analysis'!$C$4:$C$8</c:f>
              <c:numCache>
                <c:formatCode>General</c:formatCode>
                <c:ptCount val="5"/>
                <c:pt idx="0">
                  <c:v>510.33</c:v>
                </c:pt>
                <c:pt idx="1">
                  <c:v>759.73</c:v>
                </c:pt>
                <c:pt idx="2">
                  <c:v>924.13</c:v>
                </c:pt>
                <c:pt idx="3">
                  <c:v>1091.8800000000001</c:v>
                </c:pt>
                <c:pt idx="4">
                  <c:v>1264.0999999999999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BD-48B8-A74F-6275037C5684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[$₹-4009]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52week High/Low</c:v>
                </c:pt>
              </c:strCache>
            </c:strRef>
          </c:cat>
          <c:val>
            <c:numRef>
              <c:f>'Football Analysis'!$D$4:$D$8</c:f>
              <c:numCache>
                <c:formatCode>General</c:formatCode>
                <c:ptCount val="5"/>
                <c:pt idx="0">
                  <c:v>510.33</c:v>
                </c:pt>
                <c:pt idx="1">
                  <c:v>759.73</c:v>
                </c:pt>
                <c:pt idx="2">
                  <c:v>924.13</c:v>
                </c:pt>
                <c:pt idx="3">
                  <c:v>1091.8800000000001</c:v>
                </c:pt>
                <c:pt idx="4">
                  <c:v>1264.0999999999999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BD-48B8-A74F-6275037C5684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52week High/Low</c:v>
                </c:pt>
              </c:strCache>
            </c:strRef>
          </c:cat>
          <c:val>
            <c:numRef>
              <c:f>'Football Analysis'!$E$4:$E$8</c:f>
              <c:numCache>
                <c:formatCode>General</c:formatCode>
                <c:ptCount val="5"/>
                <c:pt idx="0">
                  <c:v>780.21</c:v>
                </c:pt>
                <c:pt idx="1">
                  <c:v>936.88</c:v>
                </c:pt>
                <c:pt idx="2">
                  <c:v>1315.28</c:v>
                </c:pt>
                <c:pt idx="3">
                  <c:v>1866.9</c:v>
                </c:pt>
                <c:pt idx="4">
                  <c:v>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BD-48B8-A74F-6275037C5684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[$₹-4009]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52week High/Low</c:v>
                </c:pt>
              </c:strCache>
            </c:strRef>
          </c:cat>
          <c:val>
            <c:numRef>
              <c:f>'Football Analysis'!$F$4:$F$8</c:f>
              <c:numCache>
                <c:formatCode>General</c:formatCode>
                <c:ptCount val="5"/>
                <c:pt idx="0">
                  <c:v>780.21</c:v>
                </c:pt>
                <c:pt idx="1">
                  <c:v>936.88</c:v>
                </c:pt>
                <c:pt idx="2">
                  <c:v>1315.28</c:v>
                </c:pt>
                <c:pt idx="3">
                  <c:v>1866.9</c:v>
                </c:pt>
                <c:pt idx="4">
                  <c:v>1728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BD-48B8-A74F-6275037C5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rgbClr val="002060"/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75238815"/>
        <c:axId val="75233535"/>
      </c:stockChart>
      <c:catAx>
        <c:axId val="7523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3535"/>
        <c:crosses val="autoZero"/>
        <c:auto val="1"/>
        <c:lblAlgn val="ctr"/>
        <c:lblOffset val="100"/>
        <c:noMultiLvlLbl val="0"/>
      </c:catAx>
      <c:valAx>
        <c:axId val="75233535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7</xdr:row>
      <xdr:rowOff>3810</xdr:rowOff>
    </xdr:from>
    <xdr:to>
      <xdr:col>14</xdr:col>
      <xdr:colOff>175260</xdr:colOff>
      <xdr:row>22</xdr:row>
      <xdr:rowOff>3810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8B45239-594E-D90A-FDC9-4BDF432045E3}"/>
            </a:ext>
          </a:extLst>
        </xdr:cNvPr>
        <xdr:cNvGrpSpPr/>
      </xdr:nvGrpSpPr>
      <xdr:grpSpPr>
        <a:xfrm>
          <a:off x="4389120" y="1283970"/>
          <a:ext cx="4572000" cy="2743200"/>
          <a:chOff x="4800600" y="1322070"/>
          <a:chExt cx="4572000" cy="27432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ADA91A4D-F310-C7FF-E609-2B34125678EF}"/>
              </a:ext>
            </a:extLst>
          </xdr:cNvPr>
          <xdr:cNvGraphicFramePr/>
        </xdr:nvGraphicFramePr>
        <xdr:xfrm>
          <a:off x="4800600" y="132207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9AC1C0E1-6615-CEBE-B93E-C1994283A585}"/>
              </a:ext>
            </a:extLst>
          </xdr:cNvPr>
          <xdr:cNvCxnSpPr/>
        </xdr:nvCxnSpPr>
        <xdr:spPr>
          <a:xfrm>
            <a:off x="5471160" y="2613660"/>
            <a:ext cx="3771900" cy="0"/>
          </a:xfrm>
          <a:prstGeom prst="line">
            <a:avLst/>
          </a:prstGeom>
          <a:ln w="12700">
            <a:solidFill>
              <a:schemeClr val="accent2">
                <a:lumMod val="60000"/>
                <a:lumOff val="40000"/>
              </a:schemeClr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3041-C333-441B-AAF0-BA4971B77D97}">
  <dimension ref="B2:R30"/>
  <sheetViews>
    <sheetView showGridLines="0" tabSelected="1" topLeftCell="A5" workbookViewId="0">
      <selection activeCell="R25" sqref="R25"/>
    </sheetView>
  </sheetViews>
  <sheetFormatPr defaultRowHeight="14.4" x14ac:dyDescent="0.3"/>
  <cols>
    <col min="1" max="1" width="1.88671875" customWidth="1"/>
    <col min="2" max="2" width="27.44140625" customWidth="1"/>
    <col min="3" max="3" width="8.44140625" customWidth="1"/>
    <col min="4" max="4" width="8.88671875" customWidth="1"/>
    <col min="5" max="5" width="12.21875" customWidth="1"/>
    <col min="6" max="6" width="10.77734375" customWidth="1"/>
    <col min="7" max="7" width="11" customWidth="1"/>
    <col min="8" max="8" width="10.6640625" customWidth="1"/>
    <col min="9" max="9" width="1.88671875" customWidth="1"/>
    <col min="10" max="10" width="10" customWidth="1"/>
    <col min="11" max="11" width="9.33203125" customWidth="1"/>
    <col min="12" max="12" width="10.6640625" customWidth="1"/>
    <col min="13" max="13" width="1.88671875" customWidth="1"/>
    <col min="14" max="14" width="11.44140625" bestFit="1" customWidth="1"/>
    <col min="15" max="16" width="11.33203125" bestFit="1" customWidth="1"/>
    <col min="18" max="18" width="11" bestFit="1" customWidth="1"/>
  </cols>
  <sheetData>
    <row r="2" spans="2:18" x14ac:dyDescent="0.3">
      <c r="B2" s="33" t="s">
        <v>45</v>
      </c>
    </row>
    <row r="3" spans="2:18" x14ac:dyDescent="0.3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</row>
    <row r="4" spans="2:18" ht="3.6" customHeight="1" x14ac:dyDescent="0.3"/>
    <row r="5" spans="2:18" x14ac:dyDescent="0.3">
      <c r="B5" s="2"/>
      <c r="C5" s="2"/>
      <c r="D5" s="35" t="s">
        <v>6</v>
      </c>
      <c r="E5" s="35"/>
      <c r="F5" s="35"/>
      <c r="G5" s="35"/>
      <c r="H5" s="35"/>
      <c r="I5" s="2"/>
      <c r="J5" s="35" t="s">
        <v>11</v>
      </c>
      <c r="K5" s="35"/>
      <c r="L5" s="35"/>
      <c r="M5" s="2"/>
      <c r="N5" s="35" t="s">
        <v>10</v>
      </c>
      <c r="O5" s="35"/>
      <c r="P5" s="35"/>
    </row>
    <row r="6" spans="2:18" ht="28.8" x14ac:dyDescent="0.3">
      <c r="B6" s="4" t="s">
        <v>12</v>
      </c>
      <c r="C6" s="4" t="s">
        <v>13</v>
      </c>
      <c r="D6" s="7" t="s">
        <v>1</v>
      </c>
      <c r="E6" s="7" t="s">
        <v>2</v>
      </c>
      <c r="F6" s="7" t="s">
        <v>3</v>
      </c>
      <c r="G6" s="7" t="s">
        <v>4</v>
      </c>
      <c r="H6" s="7" t="s">
        <v>5</v>
      </c>
      <c r="I6" s="7"/>
      <c r="J6" s="6" t="s">
        <v>7</v>
      </c>
      <c r="K6" s="6" t="s">
        <v>8</v>
      </c>
      <c r="L6" s="6" t="s">
        <v>9</v>
      </c>
      <c r="M6" s="6"/>
      <c r="N6" s="6" t="s">
        <v>31</v>
      </c>
      <c r="O6" s="6" t="s">
        <v>33</v>
      </c>
      <c r="P6" s="6" t="s">
        <v>32</v>
      </c>
    </row>
    <row r="7" spans="2:18" s="12" customFormat="1" ht="4.2" customHeight="1" x14ac:dyDescent="0.3">
      <c r="B7" s="9"/>
      <c r="C7" s="9"/>
      <c r="D7" s="10"/>
      <c r="E7" s="10"/>
      <c r="F7" s="10"/>
      <c r="G7" s="10"/>
      <c r="H7" s="10"/>
      <c r="I7" s="10"/>
      <c r="J7" s="11"/>
      <c r="K7" s="11"/>
      <c r="L7" s="11"/>
      <c r="M7" s="11"/>
      <c r="N7" s="11"/>
      <c r="O7" s="11"/>
      <c r="P7" s="11"/>
    </row>
    <row r="8" spans="2:18" x14ac:dyDescent="0.3">
      <c r="B8" s="13" t="str">
        <f>Data!C3</f>
        <v>Infosys</v>
      </c>
      <c r="C8" s="13" t="s">
        <v>55</v>
      </c>
      <c r="D8" s="14">
        <f>Data!D3</f>
        <v>1280.05</v>
      </c>
      <c r="E8" s="15">
        <f>Data!E3</f>
        <v>405.54</v>
      </c>
      <c r="F8" s="14">
        <f>D8*E8</f>
        <v>519111.47700000001</v>
      </c>
      <c r="G8" s="14">
        <f>Data!I3</f>
        <v>-15659</v>
      </c>
      <c r="H8" s="14">
        <f>F8+G8</f>
        <v>503452.47700000001</v>
      </c>
      <c r="I8" s="14"/>
      <c r="J8" s="14">
        <f>Data!K3</f>
        <v>173173</v>
      </c>
      <c r="K8" s="14">
        <f>Data!L3</f>
        <v>45339</v>
      </c>
      <c r="L8" s="14">
        <f>Data!M3</f>
        <v>28003</v>
      </c>
      <c r="M8" s="16"/>
      <c r="N8" s="17">
        <f>$H8/J8</f>
        <v>2.9072227021533381</v>
      </c>
      <c r="O8" s="17">
        <f>$H8/K8</f>
        <v>11.104181322922869</v>
      </c>
      <c r="P8" s="17">
        <f>F8/L8</f>
        <v>18.537709423990286</v>
      </c>
    </row>
    <row r="9" spans="2:18" x14ac:dyDescent="0.3">
      <c r="B9" s="18" t="str">
        <f>Data!C4</f>
        <v>TCS</v>
      </c>
      <c r="C9" s="18" t="s">
        <v>24</v>
      </c>
      <c r="D9" s="19">
        <f>Data!D4</f>
        <v>2478.9499999999998</v>
      </c>
      <c r="E9" s="20">
        <f>Data!E4</f>
        <v>361.81</v>
      </c>
      <c r="F9" s="19">
        <f t="shared" ref="F9:F12" si="0">D9*E9</f>
        <v>896908.89949999994</v>
      </c>
      <c r="G9" s="19">
        <f>Data!I4</f>
        <v>-4531</v>
      </c>
      <c r="H9" s="19">
        <f t="shared" ref="H9:H12" si="1">F9+G9</f>
        <v>892377.89949999994</v>
      </c>
      <c r="I9" s="19"/>
      <c r="J9" s="19">
        <f>Data!K4</f>
        <v>260802</v>
      </c>
      <c r="K9" s="19">
        <f>Data!L4</f>
        <v>74775</v>
      </c>
      <c r="L9" s="19">
        <f>Data!M4</f>
        <v>47963</v>
      </c>
      <c r="M9" s="21"/>
      <c r="N9" s="22">
        <f t="shared" ref="N9:N12" si="2">$H9/J9</f>
        <v>3.4216681601368086</v>
      </c>
      <c r="O9" s="22">
        <f t="shared" ref="O9:O12" si="3">$H9/K9</f>
        <v>11.934174516883985</v>
      </c>
      <c r="P9" s="22">
        <f t="shared" ref="P9:P12" si="4">F9/L9</f>
        <v>18.700016669099096</v>
      </c>
      <c r="R9" s="37"/>
    </row>
    <row r="10" spans="2:18" x14ac:dyDescent="0.3">
      <c r="B10" s="18" t="str">
        <f>Data!C5</f>
        <v>HCL Technologies</v>
      </c>
      <c r="C10" s="18" t="s">
        <v>56</v>
      </c>
      <c r="D10" s="19">
        <f>Data!D5</f>
        <v>1356.95</v>
      </c>
      <c r="E10" s="20">
        <f>Data!E5</f>
        <v>271.37</v>
      </c>
      <c r="F10" s="19">
        <f t="shared" si="0"/>
        <v>368235.52150000003</v>
      </c>
      <c r="G10" s="19">
        <f>Data!I5</f>
        <v>-14509</v>
      </c>
      <c r="H10" s="19">
        <f t="shared" si="1"/>
        <v>353726.52150000003</v>
      </c>
      <c r="I10" s="19"/>
      <c r="J10" s="19">
        <f>Data!K5</f>
        <v>126409</v>
      </c>
      <c r="K10" s="19">
        <f>Data!L5</f>
        <v>28179</v>
      </c>
      <c r="L10" s="19">
        <f>Data!M5</f>
        <v>16471</v>
      </c>
      <c r="M10" s="21"/>
      <c r="N10" s="22">
        <f>$H10/J10</f>
        <v>2.7982700717512206</v>
      </c>
      <c r="O10" s="22">
        <f>$H10/K10</f>
        <v>12.552841530927287</v>
      </c>
      <c r="P10" s="22">
        <f t="shared" si="4"/>
        <v>22.356597747556314</v>
      </c>
    </row>
    <row r="11" spans="2:18" x14ac:dyDescent="0.3">
      <c r="B11" s="18" t="str">
        <f>Data!C6</f>
        <v>Wipro</v>
      </c>
      <c r="C11" s="18" t="s">
        <v>57</v>
      </c>
      <c r="D11" s="19">
        <f>Data!D6</f>
        <v>203.6</v>
      </c>
      <c r="E11" s="20">
        <f>Data!E6</f>
        <v>1048.8</v>
      </c>
      <c r="F11" s="19">
        <f t="shared" si="0"/>
        <v>213535.68</v>
      </c>
      <c r="G11" s="19">
        <f>Data!I6</f>
        <v>3966.3000000000011</v>
      </c>
      <c r="H11" s="19">
        <f t="shared" si="1"/>
        <v>217501.97999999998</v>
      </c>
      <c r="I11" s="19"/>
      <c r="J11" s="19">
        <f>Data!K6</f>
        <v>90891.9</v>
      </c>
      <c r="K11" s="19">
        <f>Data!L6</f>
        <v>21785.800000000003</v>
      </c>
      <c r="L11" s="19">
        <f>Data!M6</f>
        <v>13332</v>
      </c>
      <c r="M11" s="21"/>
      <c r="N11" s="22">
        <f t="shared" si="2"/>
        <v>2.3929742914385108</v>
      </c>
      <c r="O11" s="22">
        <f t="shared" si="3"/>
        <v>9.9836581626564076</v>
      </c>
      <c r="P11" s="22">
        <f t="shared" si="4"/>
        <v>16.016777677767777</v>
      </c>
    </row>
    <row r="12" spans="2:18" x14ac:dyDescent="0.3">
      <c r="B12" s="18" t="str">
        <f>Data!C7</f>
        <v>Tech Mahindra</v>
      </c>
      <c r="C12" s="18" t="s">
        <v>58</v>
      </c>
      <c r="D12" s="19">
        <f>Data!D7</f>
        <v>1345.4</v>
      </c>
      <c r="E12" s="20">
        <f>Data!E7</f>
        <v>97.98</v>
      </c>
      <c r="F12" s="19">
        <f t="shared" si="0"/>
        <v>131822.29200000002</v>
      </c>
      <c r="G12" s="19">
        <f>Data!I7</f>
        <v>-2587.7999999999997</v>
      </c>
      <c r="H12" s="19">
        <f t="shared" si="1"/>
        <v>129234.49200000001</v>
      </c>
      <c r="I12" s="19"/>
      <c r="J12" s="19">
        <f>Data!K7</f>
        <v>55123.3</v>
      </c>
      <c r="K12" s="19">
        <f>Data!L7</f>
        <v>8715.6</v>
      </c>
      <c r="L12" s="19">
        <f>Data!M7</f>
        <v>4591</v>
      </c>
      <c r="M12" s="21"/>
      <c r="N12" s="22">
        <f t="shared" si="2"/>
        <v>2.3444621784254571</v>
      </c>
      <c r="O12" s="22">
        <f t="shared" si="3"/>
        <v>14.827951259809996</v>
      </c>
      <c r="P12" s="22">
        <f t="shared" si="4"/>
        <v>28.713197996079288</v>
      </c>
    </row>
    <row r="13" spans="2:18" ht="5.4" customHeight="1" x14ac:dyDescent="0.3"/>
    <row r="14" spans="2:18" x14ac:dyDescent="0.3">
      <c r="B14" s="27" t="s">
        <v>34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8">
        <f>MAX(N8:N12)</f>
        <v>3.4216681601368086</v>
      </c>
      <c r="O14" s="28">
        <f t="shared" ref="O14:P14" si="5">MAX(O8:O12)</f>
        <v>14.827951259809996</v>
      </c>
      <c r="P14" s="28">
        <f t="shared" si="5"/>
        <v>28.713197996079288</v>
      </c>
    </row>
    <row r="15" spans="2:18" x14ac:dyDescent="0.3">
      <c r="B15" s="27" t="s">
        <v>35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8">
        <f>QUARTILE(N8:N12,3)</f>
        <v>2.9072227021533381</v>
      </c>
      <c r="O15" s="28">
        <f t="shared" ref="O15:P15" si="6">QUARTILE(O8:O12,3)</f>
        <v>12.552841530927287</v>
      </c>
      <c r="P15" s="28">
        <f t="shared" si="6"/>
        <v>22.356597747556314</v>
      </c>
      <c r="R15" s="36"/>
    </row>
    <row r="16" spans="2:18" x14ac:dyDescent="0.3">
      <c r="B16" s="29" t="s">
        <v>37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30">
        <f>AVERAGE(N8:N12)</f>
        <v>2.7729194807810673</v>
      </c>
      <c r="O16" s="30">
        <f t="shared" ref="O16:P16" si="7">AVERAGE(O8:O12)</f>
        <v>12.080561358640107</v>
      </c>
      <c r="P16" s="30">
        <f t="shared" si="7"/>
        <v>20.864859902898552</v>
      </c>
    </row>
    <row r="17" spans="2:16" x14ac:dyDescent="0.3">
      <c r="B17" s="29" t="s">
        <v>36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>
        <f>MEDIAN(N8:N12)</f>
        <v>2.7982700717512206</v>
      </c>
      <c r="O17" s="30">
        <f t="shared" ref="O17:P17" si="8">MEDIAN(O8:O12)</f>
        <v>11.934174516883985</v>
      </c>
      <c r="P17" s="30">
        <f t="shared" si="8"/>
        <v>18.700016669099096</v>
      </c>
    </row>
    <row r="18" spans="2:16" x14ac:dyDescent="0.3">
      <c r="B18" s="27" t="s">
        <v>38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8">
        <f>QUARTILE(N8:N12,1)</f>
        <v>2.3929742914385108</v>
      </c>
      <c r="O18" s="28">
        <f t="shared" ref="O18:P18" si="9">QUARTILE(O8:O12,1)</f>
        <v>11.104181322922869</v>
      </c>
      <c r="P18" s="28">
        <f t="shared" si="9"/>
        <v>18.537709423990286</v>
      </c>
    </row>
    <row r="19" spans="2:16" x14ac:dyDescent="0.3">
      <c r="B19" s="27" t="s">
        <v>39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>
        <f>MIN(N8:N12)</f>
        <v>2.3444621784254571</v>
      </c>
      <c r="O19" s="28">
        <f t="shared" ref="O19:P19" si="10">MIN(O8:O12)</f>
        <v>9.9836581626564076</v>
      </c>
      <c r="P19" s="28">
        <f t="shared" si="10"/>
        <v>16.016777677767777</v>
      </c>
    </row>
    <row r="21" spans="2:16" x14ac:dyDescent="0.3">
      <c r="B21" s="2" t="s">
        <v>40</v>
      </c>
      <c r="C21" s="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6" t="s">
        <v>31</v>
      </c>
      <c r="O21" s="6" t="s">
        <v>33</v>
      </c>
      <c r="P21" s="6" t="s">
        <v>32</v>
      </c>
    </row>
    <row r="22" spans="2:16" ht="4.8" customHeight="1" x14ac:dyDescent="0.3"/>
    <row r="23" spans="2:16" x14ac:dyDescent="0.3">
      <c r="B23" s="31" t="s">
        <v>41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2">
        <f>N17*J8</f>
        <v>484584.82313537411</v>
      </c>
      <c r="O23" s="32">
        <f>O17*K8</f>
        <v>541083.53842100303</v>
      </c>
      <c r="P23" s="32">
        <f>+P25+P24</f>
        <v>507997.56678478199</v>
      </c>
    </row>
    <row r="24" spans="2:16" x14ac:dyDescent="0.3">
      <c r="B24" s="31" t="s">
        <v>42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2">
        <f>$G$8</f>
        <v>-15659</v>
      </c>
      <c r="O24" s="32">
        <f t="shared" ref="O24:P24" si="11">$G$8</f>
        <v>-15659</v>
      </c>
      <c r="P24" s="32">
        <f t="shared" si="11"/>
        <v>-15659</v>
      </c>
    </row>
    <row r="25" spans="2:16" x14ac:dyDescent="0.3">
      <c r="B25" s="31" t="s">
        <v>43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2">
        <f>N23-N24</f>
        <v>500243.82313537411</v>
      </c>
      <c r="O25" s="32">
        <f t="shared" ref="O25" si="12">O23-O24</f>
        <v>556742.53842100303</v>
      </c>
      <c r="P25" s="32">
        <f>P17*L8</f>
        <v>523656.56678478199</v>
      </c>
    </row>
    <row r="26" spans="2:16" x14ac:dyDescent="0.3">
      <c r="B26" s="31" t="s">
        <v>2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2">
        <f>$E$8</f>
        <v>405.54</v>
      </c>
      <c r="O26" s="32">
        <f t="shared" ref="O26:P26" si="13">$E$8</f>
        <v>405.54</v>
      </c>
      <c r="P26" s="32">
        <f t="shared" si="13"/>
        <v>405.54</v>
      </c>
    </row>
    <row r="27" spans="2:16" ht="4.8" customHeight="1" x14ac:dyDescent="0.3">
      <c r="N27" s="24"/>
      <c r="O27" s="24"/>
      <c r="P27" s="24"/>
    </row>
    <row r="28" spans="2:16" x14ac:dyDescent="0.3">
      <c r="B28" s="25" t="s">
        <v>44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6">
        <f>N25/N26</f>
        <v>1233.5252333564483</v>
      </c>
      <c r="O28" s="26">
        <f>O25/O26</f>
        <v>1372.8424777358657</v>
      </c>
      <c r="P28" s="26">
        <f t="shared" ref="O28:P28" si="14">P25/P26</f>
        <v>1291.2575005789365</v>
      </c>
    </row>
    <row r="29" spans="2:16" ht="3.6" customHeight="1" x14ac:dyDescent="0.3"/>
    <row r="30" spans="2:16" x14ac:dyDescent="0.3">
      <c r="B30" s="33" t="s">
        <v>46</v>
      </c>
      <c r="N30" t="str">
        <f>IF(N28&gt;$D$8,"Undervalued","Overvalued")</f>
        <v>Overvalued</v>
      </c>
      <c r="O30" t="str">
        <f>IF(O28&gt;$D$8,"Undervalued","Overvalued")</f>
        <v>Undervalued</v>
      </c>
      <c r="P30" t="str">
        <f t="shared" ref="O30:P30" si="15">IF(P28&gt;$D$8,"Undervalued","Overvalued")</f>
        <v>Undervalued</v>
      </c>
    </row>
  </sheetData>
  <mergeCells count="3">
    <mergeCell ref="J5:L5"/>
    <mergeCell ref="D5:H5"/>
    <mergeCell ref="N5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44D2-AB8E-4522-84F0-A9BC1A7A7B63}">
  <dimension ref="B2:O10"/>
  <sheetViews>
    <sheetView workbookViewId="0">
      <selection activeCell="J3" sqref="J3"/>
    </sheetView>
  </sheetViews>
  <sheetFormatPr defaultRowHeight="14.4" x14ac:dyDescent="0.3"/>
  <cols>
    <col min="2" max="2" width="5.44140625" bestFit="1" customWidth="1"/>
    <col min="3" max="3" width="16.109375" bestFit="1" customWidth="1"/>
    <col min="4" max="4" width="8" bestFit="1" customWidth="1"/>
    <col min="5" max="5" width="15.6640625" bestFit="1" customWidth="1"/>
    <col min="6" max="6" width="18.6640625" bestFit="1" customWidth="1"/>
    <col min="7" max="7" width="10.109375" bestFit="1" customWidth="1"/>
    <col min="8" max="8" width="13.6640625" bestFit="1" customWidth="1"/>
    <col min="9" max="10" width="13.6640625" customWidth="1"/>
    <col min="11" max="11" width="10.33203125" bestFit="1" customWidth="1"/>
    <col min="12" max="12" width="10.33203125" customWidth="1"/>
    <col min="13" max="13" width="12.6640625" bestFit="1" customWidth="1"/>
    <col min="14" max="14" width="14.109375" bestFit="1" customWidth="1"/>
    <col min="15" max="15" width="13.6640625" bestFit="1" customWidth="1"/>
  </cols>
  <sheetData>
    <row r="2" spans="2:15" x14ac:dyDescent="0.3">
      <c r="B2" t="s">
        <v>14</v>
      </c>
      <c r="C2" t="s">
        <v>15</v>
      </c>
      <c r="D2" t="s">
        <v>16</v>
      </c>
      <c r="E2" t="s">
        <v>17</v>
      </c>
      <c r="F2" t="s">
        <v>29</v>
      </c>
      <c r="G2" t="s">
        <v>18</v>
      </c>
      <c r="H2" t="s">
        <v>19</v>
      </c>
      <c r="I2" t="s">
        <v>4</v>
      </c>
      <c r="J2" t="s">
        <v>30</v>
      </c>
      <c r="K2" t="s">
        <v>20</v>
      </c>
      <c r="L2" t="s">
        <v>8</v>
      </c>
      <c r="M2" t="s">
        <v>21</v>
      </c>
      <c r="N2" t="s">
        <v>22</v>
      </c>
      <c r="O2" t="s">
        <v>23</v>
      </c>
    </row>
    <row r="3" spans="2:15" x14ac:dyDescent="0.3">
      <c r="B3">
        <v>1</v>
      </c>
      <c r="C3" t="s">
        <v>25</v>
      </c>
      <c r="D3" s="3">
        <v>1280.05</v>
      </c>
      <c r="E3" s="3">
        <v>405.54</v>
      </c>
      <c r="F3" s="3">
        <f>E3*D3</f>
        <v>519111.47700000001</v>
      </c>
      <c r="G3" s="3">
        <v>8796</v>
      </c>
      <c r="H3" s="3">
        <v>24455</v>
      </c>
      <c r="I3" s="3">
        <f>G3-H3</f>
        <v>-15659</v>
      </c>
      <c r="J3" s="3">
        <f>F3+G3-H3</f>
        <v>503452.47699999996</v>
      </c>
      <c r="K3" s="3">
        <v>173173</v>
      </c>
      <c r="L3" s="3">
        <f>N3+O3</f>
        <v>45339</v>
      </c>
      <c r="M3" s="3">
        <v>28003</v>
      </c>
      <c r="N3" s="3">
        <v>40563</v>
      </c>
      <c r="O3" s="3">
        <v>4776</v>
      </c>
    </row>
    <row r="4" spans="2:15" x14ac:dyDescent="0.3">
      <c r="B4">
        <v>2</v>
      </c>
      <c r="C4" t="s">
        <v>24</v>
      </c>
      <c r="D4" s="3">
        <v>2478.9499999999998</v>
      </c>
      <c r="E4" s="3">
        <v>361.81</v>
      </c>
      <c r="F4" s="3">
        <f>E4*D4</f>
        <v>896908.89949999994</v>
      </c>
      <c r="G4" s="3">
        <v>10932</v>
      </c>
      <c r="H4" s="3">
        <v>15463</v>
      </c>
      <c r="I4" s="3">
        <f t="shared" ref="I4:I7" si="0">G4-H4</f>
        <v>-4531</v>
      </c>
      <c r="J4" s="3">
        <f>F4+G4-H4</f>
        <v>892377.89949999994</v>
      </c>
      <c r="K4" s="3">
        <v>260802</v>
      </c>
      <c r="L4" s="3">
        <f>N4+O4</f>
        <v>74775</v>
      </c>
      <c r="M4" s="3">
        <v>47963</v>
      </c>
      <c r="N4" s="3">
        <v>69242</v>
      </c>
      <c r="O4" s="3">
        <v>5533</v>
      </c>
    </row>
    <row r="5" spans="2:15" x14ac:dyDescent="0.3">
      <c r="B5">
        <v>3</v>
      </c>
      <c r="C5" t="s">
        <v>26</v>
      </c>
      <c r="D5" s="3">
        <v>1356.95</v>
      </c>
      <c r="E5" s="3">
        <v>271.37</v>
      </c>
      <c r="F5" s="3">
        <f t="shared" ref="F5:F7" si="1">E5*D5</f>
        <v>368235.52150000003</v>
      </c>
      <c r="G5" s="3">
        <v>6780</v>
      </c>
      <c r="H5" s="3">
        <v>21289</v>
      </c>
      <c r="I5" s="3">
        <f t="shared" si="0"/>
        <v>-14509</v>
      </c>
      <c r="J5" s="3">
        <f t="shared" ref="J5:J7" si="2">F5+G5-H5</f>
        <v>353726.52150000003</v>
      </c>
      <c r="K5" s="3">
        <v>126409</v>
      </c>
      <c r="L5" s="3">
        <f t="shared" ref="L5:L7" si="3">N5+O5</f>
        <v>28179</v>
      </c>
      <c r="M5" s="3">
        <v>16471</v>
      </c>
      <c r="N5" s="3">
        <v>23876</v>
      </c>
      <c r="O5" s="3">
        <v>4303</v>
      </c>
    </row>
    <row r="6" spans="2:15" x14ac:dyDescent="0.3">
      <c r="B6">
        <v>4</v>
      </c>
      <c r="C6" t="s">
        <v>27</v>
      </c>
      <c r="D6" s="3">
        <v>203.6</v>
      </c>
      <c r="E6" s="3">
        <v>1048.8</v>
      </c>
      <c r="F6" s="3">
        <f t="shared" si="1"/>
        <v>213535.68</v>
      </c>
      <c r="G6" s="3">
        <v>16163.7</v>
      </c>
      <c r="H6" s="3">
        <v>12197.4</v>
      </c>
      <c r="I6" s="3">
        <f t="shared" si="0"/>
        <v>3966.3000000000011</v>
      </c>
      <c r="J6" s="3">
        <f t="shared" si="2"/>
        <v>217501.98</v>
      </c>
      <c r="K6" s="3">
        <v>90891.9</v>
      </c>
      <c r="L6" s="3">
        <f t="shared" si="3"/>
        <v>21785.800000000003</v>
      </c>
      <c r="M6" s="3">
        <v>13332</v>
      </c>
      <c r="N6" s="3">
        <v>18881.900000000001</v>
      </c>
      <c r="O6" s="3">
        <v>2903.9</v>
      </c>
    </row>
    <row r="7" spans="2:15" x14ac:dyDescent="0.3">
      <c r="B7">
        <v>5</v>
      </c>
      <c r="C7" t="s">
        <v>28</v>
      </c>
      <c r="D7" s="3">
        <v>1345.4</v>
      </c>
      <c r="E7" s="3">
        <v>97.98</v>
      </c>
      <c r="F7" s="3">
        <f t="shared" si="1"/>
        <v>131822.29200000002</v>
      </c>
      <c r="G7" s="3">
        <v>1954.4</v>
      </c>
      <c r="H7" s="3">
        <v>4542.2</v>
      </c>
      <c r="I7" s="3">
        <f t="shared" si="0"/>
        <v>-2587.7999999999997</v>
      </c>
      <c r="J7" s="3">
        <f t="shared" si="2"/>
        <v>129234.49200000001</v>
      </c>
      <c r="K7" s="3">
        <v>55123.3</v>
      </c>
      <c r="L7" s="3">
        <f t="shared" si="3"/>
        <v>8715.6</v>
      </c>
      <c r="M7" s="3">
        <v>4591</v>
      </c>
      <c r="N7" s="3">
        <v>6853</v>
      </c>
      <c r="O7" s="3">
        <v>1862.6</v>
      </c>
    </row>
    <row r="8" spans="2:15" x14ac:dyDescent="0.3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x14ac:dyDescent="0.3"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2:15" x14ac:dyDescent="0.3"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86A4-AED1-4A87-AD7B-36FCA9F6B9AA}">
  <dimension ref="B2:K8"/>
  <sheetViews>
    <sheetView showGridLines="0" workbookViewId="0">
      <selection activeCell="C3" sqref="C3:F3"/>
    </sheetView>
  </sheetViews>
  <sheetFormatPr defaultRowHeight="14.4" x14ac:dyDescent="0.3"/>
  <cols>
    <col min="1" max="1" width="1.88671875" customWidth="1"/>
    <col min="2" max="2" width="19.5546875" bestFit="1" customWidth="1"/>
  </cols>
  <sheetData>
    <row r="2" spans="2:11" x14ac:dyDescent="0.3">
      <c r="B2" s="2" t="s">
        <v>54</v>
      </c>
      <c r="C2" s="2"/>
      <c r="D2" s="2"/>
      <c r="E2" s="2"/>
      <c r="F2" s="2"/>
      <c r="G2" s="34"/>
      <c r="H2" s="34"/>
      <c r="I2" s="34"/>
      <c r="J2" s="34"/>
      <c r="K2" s="34"/>
    </row>
    <row r="3" spans="2:11" x14ac:dyDescent="0.3">
      <c r="C3" s="8" t="s">
        <v>52</v>
      </c>
      <c r="D3" s="8" t="s">
        <v>39</v>
      </c>
      <c r="E3" s="8" t="s">
        <v>53</v>
      </c>
      <c r="F3" s="8" t="s">
        <v>34</v>
      </c>
    </row>
    <row r="4" spans="2:11" x14ac:dyDescent="0.3">
      <c r="B4" s="5" t="s">
        <v>47</v>
      </c>
      <c r="C4">
        <v>510.33</v>
      </c>
      <c r="D4">
        <v>510.33</v>
      </c>
      <c r="E4">
        <v>780.21</v>
      </c>
      <c r="F4">
        <v>780.21</v>
      </c>
    </row>
    <row r="5" spans="2:11" x14ac:dyDescent="0.3">
      <c r="B5" s="5" t="s">
        <v>48</v>
      </c>
      <c r="C5">
        <v>759.73</v>
      </c>
      <c r="D5">
        <v>759.73</v>
      </c>
      <c r="E5">
        <v>936.88</v>
      </c>
      <c r="F5">
        <v>936.88</v>
      </c>
    </row>
    <row r="6" spans="2:11" x14ac:dyDescent="0.3">
      <c r="B6" s="5" t="s">
        <v>49</v>
      </c>
      <c r="C6">
        <v>924.13</v>
      </c>
      <c r="D6">
        <v>924.13</v>
      </c>
      <c r="E6">
        <v>1315.28</v>
      </c>
      <c r="F6">
        <v>1315.28</v>
      </c>
    </row>
    <row r="7" spans="2:11" x14ac:dyDescent="0.3">
      <c r="B7" s="5" t="s">
        <v>50</v>
      </c>
      <c r="C7">
        <v>1091.8800000000001</v>
      </c>
      <c r="D7">
        <v>1091.8800000000001</v>
      </c>
      <c r="E7">
        <v>1866.9</v>
      </c>
      <c r="F7">
        <v>1866.9</v>
      </c>
    </row>
    <row r="8" spans="2:11" x14ac:dyDescent="0.3">
      <c r="B8" s="5" t="s">
        <v>51</v>
      </c>
      <c r="C8">
        <v>1264.0999999999999</v>
      </c>
      <c r="D8">
        <v>1264.0999999999999</v>
      </c>
      <c r="E8">
        <v>1728</v>
      </c>
      <c r="F8">
        <v>1728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Comapany Value</vt:lpstr>
      <vt:lpstr>Data</vt:lpstr>
      <vt:lpstr>Football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</dc:creator>
  <cp:lastModifiedBy>HP Pavilion</cp:lastModifiedBy>
  <dcterms:created xsi:type="dcterms:W3CDTF">2026-03-11T07:33:17Z</dcterms:created>
  <dcterms:modified xsi:type="dcterms:W3CDTF">2026-04-03T19:14:57Z</dcterms:modified>
</cp:coreProperties>
</file>