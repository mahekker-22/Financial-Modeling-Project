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ae7f8d1bd5ce291/Desktop/Inofsys FM/"/>
    </mc:Choice>
  </mc:AlternateContent>
  <xr:revisionPtr revIDLastSave="21" documentId="8_{FC2DB184-AF65-4072-BAA9-BC95753AB1C4}" xr6:coauthVersionLast="47" xr6:coauthVersionMax="47" xr10:uidLastSave="{CF1C2025-3F35-48B7-8C7E-52938CEF0C85}"/>
  <bookViews>
    <workbookView xWindow="-108" yWindow="-108" windowWidth="23256" windowHeight="12456" firstSheet="4" activeTab="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Financials&gt;" sheetId="8" r:id="rId5"/>
    <sheet name="Historical FS" sheetId="9" r:id="rId6"/>
    <sheet name="Ratio Analysis" sheetId="11" r:id="rId7"/>
    <sheet name="Data&gt;" sheetId="7" r:id="rId8"/>
    <sheet name="Data Sheet" sheetId="6" r:id="rId9"/>
    <sheet name="Cashflow Data" sheetId="10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9" i="9" l="1"/>
  <c r="F39" i="9"/>
  <c r="G39" i="9"/>
  <c r="H39" i="9"/>
  <c r="I39" i="9"/>
  <c r="J39" i="9"/>
  <c r="K39" i="9"/>
  <c r="L39" i="9"/>
  <c r="D39" i="9"/>
  <c r="C19" i="9"/>
  <c r="Y81" i="11"/>
  <c r="X81" i="11"/>
  <c r="W81" i="11"/>
  <c r="V81" i="11"/>
  <c r="U81" i="11"/>
  <c r="T81" i="11"/>
  <c r="S81" i="11"/>
  <c r="R81" i="11"/>
  <c r="Q81" i="11"/>
  <c r="P81" i="11"/>
  <c r="AB81" i="11" s="1"/>
  <c r="Y80" i="11"/>
  <c r="X80" i="11"/>
  <c r="W80" i="11"/>
  <c r="V80" i="11"/>
  <c r="U80" i="11"/>
  <c r="T80" i="11"/>
  <c r="S80" i="11"/>
  <c r="R80" i="11"/>
  <c r="Q80" i="11"/>
  <c r="P80" i="11"/>
  <c r="Y79" i="11"/>
  <c r="X79" i="11"/>
  <c r="W79" i="11"/>
  <c r="V79" i="11"/>
  <c r="U79" i="11"/>
  <c r="T79" i="11"/>
  <c r="S79" i="11"/>
  <c r="R79" i="11"/>
  <c r="Q79" i="11"/>
  <c r="P79" i="11"/>
  <c r="Y72" i="11"/>
  <c r="X72" i="11"/>
  <c r="W72" i="11"/>
  <c r="V72" i="11"/>
  <c r="U72" i="11"/>
  <c r="T72" i="11"/>
  <c r="S72" i="11"/>
  <c r="R72" i="11"/>
  <c r="Q72" i="11"/>
  <c r="P72" i="11"/>
  <c r="Y71" i="11"/>
  <c r="X71" i="11"/>
  <c r="W71" i="11"/>
  <c r="V71" i="11"/>
  <c r="U71" i="11"/>
  <c r="T71" i="11"/>
  <c r="S71" i="11"/>
  <c r="R71" i="11"/>
  <c r="Q71" i="11"/>
  <c r="P71" i="11"/>
  <c r="Y70" i="11"/>
  <c r="Y76" i="11" s="1"/>
  <c r="X70" i="11"/>
  <c r="X76" i="11" s="1"/>
  <c r="W70" i="11"/>
  <c r="W76" i="11" s="1"/>
  <c r="V70" i="11"/>
  <c r="V76" i="11" s="1"/>
  <c r="U70" i="11"/>
  <c r="U76" i="11" s="1"/>
  <c r="T70" i="11"/>
  <c r="T76" i="11" s="1"/>
  <c r="S70" i="11"/>
  <c r="S76" i="11" s="1"/>
  <c r="R70" i="11"/>
  <c r="R76" i="11" s="1"/>
  <c r="Q70" i="11"/>
  <c r="Q76" i="11" s="1"/>
  <c r="P70" i="11"/>
  <c r="AB70" i="11" s="1"/>
  <c r="Y69" i="11"/>
  <c r="Y75" i="11" s="1"/>
  <c r="X69" i="11"/>
  <c r="X75" i="11" s="1"/>
  <c r="W69" i="11"/>
  <c r="W75" i="11" s="1"/>
  <c r="V69" i="11"/>
  <c r="V75" i="11" s="1"/>
  <c r="U69" i="11"/>
  <c r="U75" i="11" s="1"/>
  <c r="T69" i="11"/>
  <c r="T75" i="11" s="1"/>
  <c r="S69" i="11"/>
  <c r="S75" i="11" s="1"/>
  <c r="R69" i="11"/>
  <c r="R75" i="11" s="1"/>
  <c r="Q69" i="11"/>
  <c r="Q75" i="11" s="1"/>
  <c r="P69" i="11"/>
  <c r="AB69" i="11" s="1"/>
  <c r="Y68" i="11"/>
  <c r="Y74" i="11" s="1"/>
  <c r="X68" i="11"/>
  <c r="X74" i="11" s="1"/>
  <c r="W68" i="11"/>
  <c r="W74" i="11" s="1"/>
  <c r="V68" i="11"/>
  <c r="V74" i="11" s="1"/>
  <c r="U68" i="11"/>
  <c r="U74" i="11" s="1"/>
  <c r="T68" i="11"/>
  <c r="T74" i="11" s="1"/>
  <c r="S68" i="11"/>
  <c r="S74" i="11" s="1"/>
  <c r="R68" i="11"/>
  <c r="R74" i="11" s="1"/>
  <c r="Q68" i="11"/>
  <c r="Q74" i="11" s="1"/>
  <c r="P68" i="11"/>
  <c r="Y66" i="11"/>
  <c r="X66" i="11"/>
  <c r="W66" i="11"/>
  <c r="V66" i="11"/>
  <c r="U66" i="11"/>
  <c r="T66" i="11"/>
  <c r="S66" i="11"/>
  <c r="R66" i="11"/>
  <c r="Q66" i="11"/>
  <c r="P66" i="11"/>
  <c r="Y64" i="11"/>
  <c r="X64" i="11"/>
  <c r="W64" i="11"/>
  <c r="V64" i="11"/>
  <c r="U64" i="11"/>
  <c r="T64" i="11"/>
  <c r="S64" i="11"/>
  <c r="R64" i="11"/>
  <c r="Q64" i="11"/>
  <c r="P64" i="11"/>
  <c r="Y63" i="11"/>
  <c r="Y65" i="11" s="1"/>
  <c r="X63" i="11"/>
  <c r="W63" i="11"/>
  <c r="V63" i="11"/>
  <c r="U63" i="11"/>
  <c r="T63" i="11"/>
  <c r="S63" i="11"/>
  <c r="S65" i="11" s="1"/>
  <c r="R63" i="11"/>
  <c r="R65" i="11" s="1"/>
  <c r="Q63" i="11"/>
  <c r="P63" i="11"/>
  <c r="Y62" i="11"/>
  <c r="X62" i="11"/>
  <c r="W62" i="11"/>
  <c r="V62" i="11"/>
  <c r="U62" i="11"/>
  <c r="T62" i="11"/>
  <c r="S62" i="11"/>
  <c r="R62" i="11"/>
  <c r="Q62" i="11"/>
  <c r="P62" i="11"/>
  <c r="AB62" i="11" s="1"/>
  <c r="Y59" i="11"/>
  <c r="X59" i="11"/>
  <c r="W59" i="11"/>
  <c r="V59" i="11"/>
  <c r="U59" i="11"/>
  <c r="T59" i="11"/>
  <c r="S59" i="11"/>
  <c r="R59" i="11"/>
  <c r="Q59" i="11"/>
  <c r="P59" i="11"/>
  <c r="AB59" i="11" s="1"/>
  <c r="Y58" i="11"/>
  <c r="X58" i="11"/>
  <c r="W58" i="11"/>
  <c r="V58" i="11"/>
  <c r="U58" i="11"/>
  <c r="T58" i="11"/>
  <c r="S58" i="11"/>
  <c r="R58" i="11"/>
  <c r="Q58" i="11"/>
  <c r="P58" i="11"/>
  <c r="Y56" i="11"/>
  <c r="X56" i="11"/>
  <c r="W56" i="11"/>
  <c r="V56" i="11"/>
  <c r="U56" i="11"/>
  <c r="T56" i="11"/>
  <c r="S56" i="11"/>
  <c r="R56" i="11"/>
  <c r="Q56" i="11"/>
  <c r="P56" i="11"/>
  <c r="Y55" i="11"/>
  <c r="X55" i="11"/>
  <c r="W55" i="11"/>
  <c r="V55" i="11"/>
  <c r="U55" i="11"/>
  <c r="T55" i="11"/>
  <c r="S55" i="11"/>
  <c r="R55" i="11"/>
  <c r="Q55" i="11"/>
  <c r="P55" i="11"/>
  <c r="Y54" i="11"/>
  <c r="Y60" i="11" s="1"/>
  <c r="X54" i="11"/>
  <c r="X60" i="11" s="1"/>
  <c r="W54" i="11"/>
  <c r="W60" i="11" s="1"/>
  <c r="V54" i="11"/>
  <c r="V60" i="11" s="1"/>
  <c r="U54" i="11"/>
  <c r="U60" i="11" s="1"/>
  <c r="T54" i="11"/>
  <c r="T60" i="11" s="1"/>
  <c r="S54" i="11"/>
  <c r="S60" i="11" s="1"/>
  <c r="R54" i="11"/>
  <c r="R60" i="11" s="1"/>
  <c r="Q54" i="11"/>
  <c r="Q60" i="11" s="1"/>
  <c r="P54" i="11"/>
  <c r="Y53" i="11"/>
  <c r="X53" i="11"/>
  <c r="W53" i="11"/>
  <c r="V53" i="11"/>
  <c r="U53" i="11"/>
  <c r="T53" i="11"/>
  <c r="S53" i="11"/>
  <c r="R53" i="11"/>
  <c r="Q53" i="11"/>
  <c r="P53" i="11"/>
  <c r="AB53" i="11" s="1"/>
  <c r="Y52" i="11"/>
  <c r="X52" i="11"/>
  <c r="W52" i="11"/>
  <c r="V52" i="11"/>
  <c r="U52" i="11"/>
  <c r="T52" i="11"/>
  <c r="S52" i="11"/>
  <c r="R52" i="11"/>
  <c r="Q52" i="11"/>
  <c r="P52" i="11"/>
  <c r="AB52" i="11" s="1"/>
  <c r="Y50" i="11"/>
  <c r="X50" i="11"/>
  <c r="W50" i="11"/>
  <c r="V50" i="11"/>
  <c r="U50" i="11"/>
  <c r="T50" i="11"/>
  <c r="S50" i="11"/>
  <c r="R50" i="11"/>
  <c r="Q50" i="11"/>
  <c r="Y49" i="11"/>
  <c r="X49" i="11"/>
  <c r="W49" i="11"/>
  <c r="V49" i="11"/>
  <c r="AB49" i="11" s="1"/>
  <c r="U49" i="11"/>
  <c r="T49" i="11"/>
  <c r="S49" i="11"/>
  <c r="R49" i="11"/>
  <c r="Q49" i="11"/>
  <c r="Y48" i="11"/>
  <c r="X48" i="11"/>
  <c r="W48" i="11"/>
  <c r="V48" i="11"/>
  <c r="U48" i="11"/>
  <c r="AA48" i="11" s="1"/>
  <c r="T48" i="11"/>
  <c r="S48" i="11"/>
  <c r="R48" i="11"/>
  <c r="Q48" i="11"/>
  <c r="AB48" i="11" s="1"/>
  <c r="Y47" i="11"/>
  <c r="X47" i="11"/>
  <c r="W47" i="11"/>
  <c r="V47" i="11"/>
  <c r="U47" i="11"/>
  <c r="T47" i="11"/>
  <c r="S47" i="11"/>
  <c r="R47" i="11"/>
  <c r="Q47" i="11"/>
  <c r="Y45" i="11"/>
  <c r="X45" i="11"/>
  <c r="W45" i="11"/>
  <c r="V45" i="11"/>
  <c r="U45" i="11"/>
  <c r="T45" i="11"/>
  <c r="S45" i="11"/>
  <c r="R45" i="11"/>
  <c r="Q45" i="11"/>
  <c r="P45" i="11"/>
  <c r="O44" i="11"/>
  <c r="D93" i="9"/>
  <c r="E93" i="9"/>
  <c r="F93" i="9"/>
  <c r="G93" i="9"/>
  <c r="H93" i="9"/>
  <c r="I93" i="9"/>
  <c r="J93" i="9"/>
  <c r="K93" i="9"/>
  <c r="L93" i="9"/>
  <c r="D94" i="9"/>
  <c r="E94" i="9"/>
  <c r="F94" i="9"/>
  <c r="G94" i="9"/>
  <c r="H94" i="9"/>
  <c r="I94" i="9"/>
  <c r="J94" i="9"/>
  <c r="K94" i="9"/>
  <c r="L94" i="9"/>
  <c r="D95" i="9"/>
  <c r="E95" i="9"/>
  <c r="F95" i="9"/>
  <c r="G95" i="9"/>
  <c r="H95" i="9"/>
  <c r="I95" i="9"/>
  <c r="J95" i="9"/>
  <c r="K95" i="9"/>
  <c r="L95" i="9"/>
  <c r="D96" i="9"/>
  <c r="E96" i="9"/>
  <c r="F96" i="9"/>
  <c r="G96" i="9"/>
  <c r="H96" i="9"/>
  <c r="I96" i="9"/>
  <c r="J96" i="9"/>
  <c r="K96" i="9"/>
  <c r="L96" i="9"/>
  <c r="D97" i="9"/>
  <c r="E97" i="9"/>
  <c r="F97" i="9"/>
  <c r="G97" i="9"/>
  <c r="H97" i="9"/>
  <c r="I97" i="9"/>
  <c r="J97" i="9"/>
  <c r="K97" i="9"/>
  <c r="L97" i="9"/>
  <c r="C94" i="9"/>
  <c r="C95" i="9"/>
  <c r="C96" i="9"/>
  <c r="C97" i="9"/>
  <c r="C93" i="9"/>
  <c r="D81" i="9"/>
  <c r="E81" i="9"/>
  <c r="F81" i="9"/>
  <c r="G81" i="9"/>
  <c r="H81" i="9"/>
  <c r="I81" i="9"/>
  <c r="J81" i="9"/>
  <c r="K81" i="9"/>
  <c r="L81" i="9"/>
  <c r="D82" i="9"/>
  <c r="E82" i="9"/>
  <c r="F82" i="9"/>
  <c r="G82" i="9"/>
  <c r="H82" i="9"/>
  <c r="I82" i="9"/>
  <c r="J82" i="9"/>
  <c r="K82" i="9"/>
  <c r="L82" i="9"/>
  <c r="D83" i="9"/>
  <c r="E83" i="9"/>
  <c r="F83" i="9"/>
  <c r="G83" i="9"/>
  <c r="H83" i="9"/>
  <c r="I83" i="9"/>
  <c r="J83" i="9"/>
  <c r="K83" i="9"/>
  <c r="L83" i="9"/>
  <c r="D84" i="9"/>
  <c r="E84" i="9"/>
  <c r="F84" i="9"/>
  <c r="G84" i="9"/>
  <c r="H84" i="9"/>
  <c r="I84" i="9"/>
  <c r="J84" i="9"/>
  <c r="K84" i="9"/>
  <c r="L84" i="9"/>
  <c r="D85" i="9"/>
  <c r="E85" i="9"/>
  <c r="F85" i="9"/>
  <c r="G85" i="9"/>
  <c r="H85" i="9"/>
  <c r="I85" i="9"/>
  <c r="J85" i="9"/>
  <c r="K85" i="9"/>
  <c r="L85" i="9"/>
  <c r="D86" i="9"/>
  <c r="E86" i="9"/>
  <c r="F86" i="9"/>
  <c r="G86" i="9"/>
  <c r="H86" i="9"/>
  <c r="I86" i="9"/>
  <c r="J86" i="9"/>
  <c r="K86" i="9"/>
  <c r="L86" i="9"/>
  <c r="D87" i="9"/>
  <c r="E87" i="9"/>
  <c r="F87" i="9"/>
  <c r="G87" i="9"/>
  <c r="H87" i="9"/>
  <c r="I87" i="9"/>
  <c r="J87" i="9"/>
  <c r="K87" i="9"/>
  <c r="L87" i="9"/>
  <c r="D88" i="9"/>
  <c r="E88" i="9"/>
  <c r="F88" i="9"/>
  <c r="G88" i="9"/>
  <c r="H88" i="9"/>
  <c r="I88" i="9"/>
  <c r="J88" i="9"/>
  <c r="K88" i="9"/>
  <c r="L88" i="9"/>
  <c r="D89" i="9"/>
  <c r="E89" i="9"/>
  <c r="F89" i="9"/>
  <c r="G89" i="9"/>
  <c r="H89" i="9"/>
  <c r="I89" i="9"/>
  <c r="J89" i="9"/>
  <c r="K89" i="9"/>
  <c r="L89" i="9"/>
  <c r="C82" i="9"/>
  <c r="C83" i="9"/>
  <c r="C84" i="9"/>
  <c r="C85" i="9"/>
  <c r="C86" i="9"/>
  <c r="C87" i="9"/>
  <c r="C88" i="9"/>
  <c r="C89" i="9"/>
  <c r="C81" i="9"/>
  <c r="D70" i="9"/>
  <c r="E70" i="9"/>
  <c r="F70" i="9"/>
  <c r="G70" i="9"/>
  <c r="H70" i="9"/>
  <c r="I70" i="9"/>
  <c r="J70" i="9"/>
  <c r="K70" i="9"/>
  <c r="L70" i="9"/>
  <c r="D71" i="9"/>
  <c r="E71" i="9"/>
  <c r="F71" i="9"/>
  <c r="G71" i="9"/>
  <c r="H71" i="9"/>
  <c r="I71" i="9"/>
  <c r="J71" i="9"/>
  <c r="K71" i="9"/>
  <c r="L71" i="9"/>
  <c r="D72" i="9"/>
  <c r="E72" i="9"/>
  <c r="F72" i="9"/>
  <c r="G72" i="9"/>
  <c r="H72" i="9"/>
  <c r="I72" i="9"/>
  <c r="J72" i="9"/>
  <c r="K72" i="9"/>
  <c r="L72" i="9"/>
  <c r="D73" i="9"/>
  <c r="E73" i="9"/>
  <c r="F73" i="9"/>
  <c r="G73" i="9"/>
  <c r="H73" i="9"/>
  <c r="I73" i="9"/>
  <c r="J73" i="9"/>
  <c r="K73" i="9"/>
  <c r="L7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C71" i="9"/>
  <c r="C72" i="9"/>
  <c r="C73" i="9"/>
  <c r="C74" i="9"/>
  <c r="C75" i="9"/>
  <c r="C76" i="9"/>
  <c r="C77" i="9"/>
  <c r="C70" i="9"/>
  <c r="L59" i="9"/>
  <c r="AB50" i="11" l="1"/>
  <c r="W65" i="11"/>
  <c r="AB56" i="11"/>
  <c r="X65" i="11"/>
  <c r="AB66" i="11"/>
  <c r="AB79" i="11"/>
  <c r="V65" i="11"/>
  <c r="AB64" i="11"/>
  <c r="AB72" i="11"/>
  <c r="AB58" i="11"/>
  <c r="AB80" i="11"/>
  <c r="AB47" i="11"/>
  <c r="AB55" i="11"/>
  <c r="AB54" i="11"/>
  <c r="AB63" i="11"/>
  <c r="AB71" i="11"/>
  <c r="T65" i="11"/>
  <c r="U65" i="11"/>
  <c r="AB68" i="11"/>
  <c r="AA49" i="11"/>
  <c r="Q65" i="11"/>
  <c r="U77" i="11"/>
  <c r="Q77" i="11"/>
  <c r="R77" i="11"/>
  <c r="S77" i="11"/>
  <c r="T77" i="11"/>
  <c r="V77" i="11"/>
  <c r="W77" i="11"/>
  <c r="X77" i="11"/>
  <c r="Y77" i="11"/>
  <c r="P65" i="11"/>
  <c r="AA47" i="11"/>
  <c r="P60" i="11"/>
  <c r="P74" i="11"/>
  <c r="P75" i="11"/>
  <c r="P76" i="11"/>
  <c r="AA50" i="11"/>
  <c r="AA52" i="11"/>
  <c r="AA53" i="11"/>
  <c r="AA54" i="11"/>
  <c r="AA55" i="11"/>
  <c r="AA56" i="11"/>
  <c r="AA58" i="11"/>
  <c r="AA59" i="11"/>
  <c r="AA62" i="11"/>
  <c r="AA63" i="11"/>
  <c r="AA64" i="11"/>
  <c r="AA66" i="11"/>
  <c r="AA68" i="11"/>
  <c r="AA69" i="11"/>
  <c r="AA70" i="11"/>
  <c r="AA71" i="11"/>
  <c r="AA72" i="11"/>
  <c r="AA79" i="11"/>
  <c r="AA80" i="11"/>
  <c r="AA81" i="11"/>
  <c r="L55" i="9"/>
  <c r="K51" i="9"/>
  <c r="L51" i="9"/>
  <c r="C3" i="9"/>
  <c r="L3" i="11"/>
  <c r="AB60" i="11" l="1"/>
  <c r="AA60" i="11"/>
  <c r="AB76" i="11"/>
  <c r="AA76" i="11"/>
  <c r="AB65" i="11"/>
  <c r="AA65" i="11"/>
  <c r="AB75" i="11"/>
  <c r="AA75" i="11"/>
  <c r="P77" i="11"/>
  <c r="AB74" i="11"/>
  <c r="AA74" i="11"/>
  <c r="B2" i="11"/>
  <c r="K3" i="11"/>
  <c r="J3" i="11"/>
  <c r="I3" i="11"/>
  <c r="H3" i="11"/>
  <c r="G3" i="11"/>
  <c r="F3" i="11"/>
  <c r="E3" i="11"/>
  <c r="D3" i="11"/>
  <c r="C3" i="11"/>
  <c r="B2" i="9"/>
  <c r="AB77" i="11" l="1"/>
  <c r="AA77" i="11"/>
  <c r="L98" i="9"/>
  <c r="F98" i="9"/>
  <c r="I90" i="9"/>
  <c r="E98" i="9"/>
  <c r="K90" i="9"/>
  <c r="G90" i="9"/>
  <c r="E90" i="9"/>
  <c r="J98" i="9"/>
  <c r="C90" i="9"/>
  <c r="J90" i="9"/>
  <c r="F90" i="9"/>
  <c r="K98" i="9"/>
  <c r="D98" i="9"/>
  <c r="I98" i="9"/>
  <c r="H98" i="9"/>
  <c r="C98" i="9"/>
  <c r="H90" i="9"/>
  <c r="L90" i="9"/>
  <c r="D90" i="9"/>
  <c r="G98" i="9"/>
  <c r="D56" i="9"/>
  <c r="E56" i="9"/>
  <c r="F56" i="9"/>
  <c r="G56" i="9"/>
  <c r="H56" i="9"/>
  <c r="I56" i="9"/>
  <c r="J56" i="9"/>
  <c r="K56" i="9"/>
  <c r="L56" i="9"/>
  <c r="C56" i="9"/>
  <c r="C60" i="9"/>
  <c r="D60" i="9"/>
  <c r="E60" i="9"/>
  <c r="F60" i="9"/>
  <c r="G60" i="9"/>
  <c r="H60" i="9"/>
  <c r="I60" i="9"/>
  <c r="J60" i="9"/>
  <c r="K60" i="9"/>
  <c r="L60" i="9"/>
  <c r="C61" i="9"/>
  <c r="D61" i="9"/>
  <c r="E61" i="9"/>
  <c r="F61" i="9"/>
  <c r="G61" i="9"/>
  <c r="H61" i="9"/>
  <c r="I61" i="9"/>
  <c r="J61" i="9"/>
  <c r="K61" i="9"/>
  <c r="L61" i="9"/>
  <c r="D59" i="9"/>
  <c r="E59" i="9"/>
  <c r="F59" i="9"/>
  <c r="G59" i="9"/>
  <c r="H59" i="9"/>
  <c r="I59" i="9"/>
  <c r="J59" i="9"/>
  <c r="K59" i="9"/>
  <c r="C59" i="9"/>
  <c r="C54" i="9"/>
  <c r="D54" i="9"/>
  <c r="E54" i="9"/>
  <c r="F54" i="9"/>
  <c r="G54" i="9"/>
  <c r="H54" i="9"/>
  <c r="I54" i="9"/>
  <c r="J54" i="9"/>
  <c r="K54" i="9"/>
  <c r="L54" i="9"/>
  <c r="C55" i="9"/>
  <c r="D55" i="9"/>
  <c r="E55" i="9"/>
  <c r="F55" i="9"/>
  <c r="G55" i="9"/>
  <c r="H55" i="9"/>
  <c r="I55" i="9"/>
  <c r="J55" i="9"/>
  <c r="K55" i="9"/>
  <c r="D53" i="9"/>
  <c r="E53" i="9"/>
  <c r="F53" i="9"/>
  <c r="G53" i="9"/>
  <c r="H53" i="9"/>
  <c r="I53" i="9"/>
  <c r="J53" i="9"/>
  <c r="K53" i="9"/>
  <c r="L53" i="9"/>
  <c r="C53" i="9"/>
  <c r="C48" i="9"/>
  <c r="D48" i="9"/>
  <c r="E48" i="9"/>
  <c r="F48" i="9"/>
  <c r="G48" i="9"/>
  <c r="H48" i="9"/>
  <c r="I48" i="9"/>
  <c r="J48" i="9"/>
  <c r="K48" i="9"/>
  <c r="L48" i="9"/>
  <c r="C49" i="9"/>
  <c r="D49" i="9"/>
  <c r="E49" i="9"/>
  <c r="F49" i="9"/>
  <c r="G49" i="9"/>
  <c r="H49" i="9"/>
  <c r="I49" i="9"/>
  <c r="J49" i="9"/>
  <c r="K49" i="9"/>
  <c r="L49" i="9"/>
  <c r="M49" i="9" s="1"/>
  <c r="C50" i="9"/>
  <c r="D50" i="9"/>
  <c r="E50" i="9"/>
  <c r="F50" i="9"/>
  <c r="G50" i="9"/>
  <c r="H50" i="9"/>
  <c r="I50" i="9"/>
  <c r="J50" i="9"/>
  <c r="K50" i="9"/>
  <c r="L50" i="9"/>
  <c r="C51" i="9"/>
  <c r="D51" i="9"/>
  <c r="E51" i="9"/>
  <c r="F51" i="9"/>
  <c r="G51" i="9"/>
  <c r="H51" i="9"/>
  <c r="I51" i="9"/>
  <c r="J51" i="9"/>
  <c r="D47" i="9"/>
  <c r="E47" i="9"/>
  <c r="F47" i="9"/>
  <c r="G47" i="9"/>
  <c r="H47" i="9"/>
  <c r="I47" i="9"/>
  <c r="J47" i="9"/>
  <c r="K47" i="9"/>
  <c r="L47" i="9"/>
  <c r="M47" i="9" s="1"/>
  <c r="C47" i="9"/>
  <c r="D36" i="9"/>
  <c r="D41" i="9" s="1"/>
  <c r="E36" i="9"/>
  <c r="E41" i="9" s="1"/>
  <c r="F36" i="9"/>
  <c r="F41" i="9" s="1"/>
  <c r="G36" i="9"/>
  <c r="G41" i="9" s="1"/>
  <c r="H36" i="9"/>
  <c r="H41" i="9" s="1"/>
  <c r="I36" i="9"/>
  <c r="I41" i="9" s="1"/>
  <c r="J36" i="9"/>
  <c r="J41" i="9" s="1"/>
  <c r="K36" i="9"/>
  <c r="K41" i="9" s="1"/>
  <c r="L36" i="9"/>
  <c r="L41" i="9" s="1"/>
  <c r="M36" i="9"/>
  <c r="C36" i="9"/>
  <c r="C41" i="9" s="1"/>
  <c r="M27" i="9"/>
  <c r="M30" i="9"/>
  <c r="D30" i="9"/>
  <c r="E30" i="9"/>
  <c r="F30" i="9"/>
  <c r="G30" i="9"/>
  <c r="H30" i="9"/>
  <c r="I30" i="9"/>
  <c r="J30" i="9"/>
  <c r="K30" i="9"/>
  <c r="L30" i="9"/>
  <c r="C30" i="9"/>
  <c r="M24" i="9"/>
  <c r="D24" i="9"/>
  <c r="E24" i="9"/>
  <c r="F24" i="9"/>
  <c r="G24" i="9"/>
  <c r="H24" i="9"/>
  <c r="I24" i="9"/>
  <c r="J24" i="9"/>
  <c r="K24" i="9"/>
  <c r="L24" i="9"/>
  <c r="C24" i="9"/>
  <c r="M21" i="9"/>
  <c r="D21" i="9"/>
  <c r="E21" i="9"/>
  <c r="F21" i="9"/>
  <c r="G21" i="9"/>
  <c r="H21" i="9"/>
  <c r="I21" i="9"/>
  <c r="J21" i="9"/>
  <c r="K21" i="9"/>
  <c r="L21" i="9"/>
  <c r="C21" i="9"/>
  <c r="D15" i="9"/>
  <c r="E15" i="9"/>
  <c r="F15" i="9"/>
  <c r="G15" i="9"/>
  <c r="H15" i="9"/>
  <c r="I15" i="9"/>
  <c r="J15" i="9"/>
  <c r="K15" i="9"/>
  <c r="L15" i="9"/>
  <c r="C15" i="9"/>
  <c r="M9" i="9"/>
  <c r="D9" i="9"/>
  <c r="E9" i="9"/>
  <c r="F9" i="9"/>
  <c r="G9" i="9"/>
  <c r="H9" i="9"/>
  <c r="I9" i="9"/>
  <c r="J9" i="9"/>
  <c r="K9" i="9"/>
  <c r="L9" i="9"/>
  <c r="C9" i="9"/>
  <c r="M6" i="9"/>
  <c r="D6" i="9"/>
  <c r="E6" i="9"/>
  <c r="F6" i="9"/>
  <c r="G6" i="9"/>
  <c r="H6" i="9"/>
  <c r="I6" i="9"/>
  <c r="J6" i="9"/>
  <c r="K6" i="9"/>
  <c r="L6" i="9"/>
  <c r="C6" i="9"/>
  <c r="K3" i="9"/>
  <c r="L3" i="9"/>
  <c r="D3" i="9"/>
  <c r="E3" i="9"/>
  <c r="F3" i="9"/>
  <c r="G3" i="9"/>
  <c r="H3" i="9"/>
  <c r="I3" i="9"/>
  <c r="J3" i="9"/>
  <c r="C6" i="3"/>
  <c r="D6" i="3"/>
  <c r="E6" i="3"/>
  <c r="F6" i="3"/>
  <c r="F14" i="3" s="1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G18" i="2"/>
  <c r="H18" i="2"/>
  <c r="I18" i="2"/>
  <c r="J18" i="2"/>
  <c r="K18" i="2"/>
  <c r="K21" i="2" s="1"/>
  <c r="B17" i="2"/>
  <c r="C4" i="2"/>
  <c r="D4" i="2"/>
  <c r="E4" i="2"/>
  <c r="E5" i="2"/>
  <c r="F4" i="2"/>
  <c r="G4" i="2"/>
  <c r="H4" i="2"/>
  <c r="H23" i="2" s="1"/>
  <c r="I4" i="2"/>
  <c r="I5" i="2"/>
  <c r="J4" i="2"/>
  <c r="J5" i="2"/>
  <c r="K4" i="2"/>
  <c r="C5" i="2"/>
  <c r="D5" i="2"/>
  <c r="F5" i="2"/>
  <c r="G5" i="2"/>
  <c r="H5" i="2"/>
  <c r="K5" i="2"/>
  <c r="K23" i="2" s="1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G14" i="3" s="1"/>
  <c r="H4" i="3"/>
  <c r="I4" i="3"/>
  <c r="J4" i="3"/>
  <c r="J14" i="3" s="1"/>
  <c r="K4" i="3"/>
  <c r="L4" i="1" s="1"/>
  <c r="L23" i="1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B6" i="1" s="1"/>
  <c r="B19" i="1" s="1"/>
  <c r="A1" i="1"/>
  <c r="A1" i="2" s="1"/>
  <c r="A1" i="4" s="1"/>
  <c r="E1" i="6"/>
  <c r="H1" i="1" s="1"/>
  <c r="I6" i="1"/>
  <c r="I19" i="1" s="1"/>
  <c r="J6" i="1"/>
  <c r="J19" i="1" s="1"/>
  <c r="K6" i="1"/>
  <c r="K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I21" i="2"/>
  <c r="C21" i="2"/>
  <c r="B18" i="2"/>
  <c r="B21" i="2" s="1"/>
  <c r="B13" i="2"/>
  <c r="B12" i="2"/>
  <c r="B11" i="2"/>
  <c r="B10" i="2"/>
  <c r="B8" i="2"/>
  <c r="B7" i="2"/>
  <c r="B6" i="2"/>
  <c r="B3" i="2"/>
  <c r="H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L6" i="1"/>
  <c r="A1" i="3"/>
  <c r="E6" i="1" l="1"/>
  <c r="E19" i="1" s="1"/>
  <c r="J14" i="1"/>
  <c r="D6" i="1"/>
  <c r="D19" i="1" s="1"/>
  <c r="C6" i="1"/>
  <c r="C19" i="1" s="1"/>
  <c r="G23" i="2"/>
  <c r="H21" i="2"/>
  <c r="D16" i="2"/>
  <c r="H23" i="1"/>
  <c r="L12" i="1"/>
  <c r="L13" i="1" s="1"/>
  <c r="L14" i="1" s="1"/>
  <c r="L25" i="1" s="1"/>
  <c r="C14" i="1"/>
  <c r="E14" i="3"/>
  <c r="M7" i="9"/>
  <c r="L10" i="9"/>
  <c r="M10" i="9"/>
  <c r="G7" i="9"/>
  <c r="G5" i="11" s="1"/>
  <c r="K14" i="1"/>
  <c r="L11" i="1"/>
  <c r="J23" i="2"/>
  <c r="D13" i="1"/>
  <c r="E13" i="1" s="1"/>
  <c r="F7" i="9"/>
  <c r="F5" i="11" s="1"/>
  <c r="B14" i="1"/>
  <c r="I16" i="2"/>
  <c r="E7" i="9"/>
  <c r="E5" i="11" s="1"/>
  <c r="B23" i="2"/>
  <c r="K16" i="2"/>
  <c r="D7" i="9"/>
  <c r="D5" i="11" s="1"/>
  <c r="F23" i="2"/>
  <c r="G14" i="1"/>
  <c r="L7" i="9"/>
  <c r="L5" i="11" s="1"/>
  <c r="E1" i="3"/>
  <c r="K7" i="9"/>
  <c r="K5" i="11" s="1"/>
  <c r="E1" i="2"/>
  <c r="J7" i="9"/>
  <c r="J5" i="11" s="1"/>
  <c r="D14" i="1"/>
  <c r="D23" i="2"/>
  <c r="I7" i="9"/>
  <c r="I5" i="11" s="1"/>
  <c r="G62" i="9"/>
  <c r="G6" i="1"/>
  <c r="G19" i="1" s="1"/>
  <c r="C16" i="2"/>
  <c r="J20" i="2"/>
  <c r="H7" i="9"/>
  <c r="H5" i="11" s="1"/>
  <c r="F62" i="9"/>
  <c r="L57" i="9"/>
  <c r="E62" i="9"/>
  <c r="L62" i="9"/>
  <c r="K10" i="9"/>
  <c r="F57" i="9"/>
  <c r="K62" i="9"/>
  <c r="J62" i="9"/>
  <c r="I62" i="9"/>
  <c r="E22" i="9"/>
  <c r="D25" i="9"/>
  <c r="D17" i="11" s="1"/>
  <c r="M31" i="9"/>
  <c r="H62" i="9"/>
  <c r="E78" i="9"/>
  <c r="E100" i="9" s="1"/>
  <c r="H78" i="9"/>
  <c r="H39" i="11" s="1"/>
  <c r="G78" i="9"/>
  <c r="G100" i="9" s="1"/>
  <c r="J78" i="9"/>
  <c r="J39" i="11" s="1"/>
  <c r="D78" i="9"/>
  <c r="D39" i="11" s="1"/>
  <c r="I78" i="9"/>
  <c r="I37" i="11" s="1"/>
  <c r="J57" i="9"/>
  <c r="E57" i="9"/>
  <c r="D62" i="9"/>
  <c r="I57" i="9"/>
  <c r="D57" i="9"/>
  <c r="K57" i="9"/>
  <c r="K78" i="9"/>
  <c r="K37" i="11" s="1"/>
  <c r="H57" i="9"/>
  <c r="C57" i="9"/>
  <c r="L78" i="9"/>
  <c r="L37" i="11" s="1"/>
  <c r="F78" i="9"/>
  <c r="G57" i="9"/>
  <c r="C62" i="9"/>
  <c r="G39" i="11"/>
  <c r="M12" i="9"/>
  <c r="K27" i="11"/>
  <c r="K33" i="11" s="1"/>
  <c r="K30" i="11"/>
  <c r="K29" i="11"/>
  <c r="K26" i="11"/>
  <c r="K32" i="11" s="1"/>
  <c r="K28" i="11"/>
  <c r="K34" i="11" s="1"/>
  <c r="I29" i="11"/>
  <c r="I26" i="11"/>
  <c r="I32" i="11" s="1"/>
  <c r="I30" i="11"/>
  <c r="I27" i="11"/>
  <c r="I33" i="11" s="1"/>
  <c r="I28" i="11"/>
  <c r="I34" i="11" s="1"/>
  <c r="E28" i="11"/>
  <c r="E34" i="11" s="1"/>
  <c r="E29" i="11"/>
  <c r="E26" i="11"/>
  <c r="E32" i="11" s="1"/>
  <c r="E27" i="11"/>
  <c r="E33" i="11" s="1"/>
  <c r="E30" i="11"/>
  <c r="C22" i="9"/>
  <c r="C30" i="11"/>
  <c r="C29" i="11"/>
  <c r="C28" i="11"/>
  <c r="C27" i="11"/>
  <c r="C26" i="11"/>
  <c r="L28" i="11"/>
  <c r="L34" i="11" s="1"/>
  <c r="L26" i="11"/>
  <c r="L32" i="11" s="1"/>
  <c r="L27" i="11"/>
  <c r="L33" i="11" s="1"/>
  <c r="L29" i="11"/>
  <c r="L30" i="11"/>
  <c r="J12" i="9"/>
  <c r="J18" i="9" s="1"/>
  <c r="J27" i="9" s="1"/>
  <c r="J30" i="11"/>
  <c r="J27" i="11"/>
  <c r="J33" i="11" s="1"/>
  <c r="J29" i="11"/>
  <c r="J26" i="11"/>
  <c r="J32" i="11" s="1"/>
  <c r="J28" i="11"/>
  <c r="J34" i="11" s="1"/>
  <c r="H29" i="11"/>
  <c r="H26" i="11"/>
  <c r="H32" i="11" s="1"/>
  <c r="H28" i="11"/>
  <c r="H34" i="11" s="1"/>
  <c r="H30" i="11"/>
  <c r="H27" i="11"/>
  <c r="H33" i="11" s="1"/>
  <c r="G25" i="9"/>
  <c r="G17" i="11" s="1"/>
  <c r="G29" i="11"/>
  <c r="G26" i="11"/>
  <c r="G32" i="11" s="1"/>
  <c r="G28" i="11"/>
  <c r="G34" i="11" s="1"/>
  <c r="G30" i="11"/>
  <c r="G27" i="11"/>
  <c r="G33" i="11" s="1"/>
  <c r="C78" i="9"/>
  <c r="C100" i="9" s="1"/>
  <c r="F29" i="11"/>
  <c r="F26" i="11"/>
  <c r="F32" i="11" s="1"/>
  <c r="F28" i="11"/>
  <c r="F34" i="11" s="1"/>
  <c r="F30" i="11"/>
  <c r="F27" i="11"/>
  <c r="F33" i="11" s="1"/>
  <c r="M33" i="9"/>
  <c r="M34" i="9" s="1"/>
  <c r="D28" i="11"/>
  <c r="D34" i="11" s="1"/>
  <c r="D27" i="11"/>
  <c r="D33" i="11" s="1"/>
  <c r="D29" i="11"/>
  <c r="D26" i="11"/>
  <c r="D32" i="11" s="1"/>
  <c r="D30" i="11"/>
  <c r="D10" i="9"/>
  <c r="F12" i="9"/>
  <c r="C10" i="9"/>
  <c r="C25" i="9"/>
  <c r="C17" i="11" s="1"/>
  <c r="E12" i="9"/>
  <c r="K16" i="9"/>
  <c r="K16" i="11" s="1"/>
  <c r="L25" i="9"/>
  <c r="L17" i="11" s="1"/>
  <c r="C12" i="9"/>
  <c r="K25" i="9"/>
  <c r="K17" i="11" s="1"/>
  <c r="M28" i="9"/>
  <c r="L12" i="9"/>
  <c r="L13" i="9" s="1"/>
  <c r="L10" i="11" s="1"/>
  <c r="K22" i="9"/>
  <c r="J25" i="9"/>
  <c r="J17" i="11" s="1"/>
  <c r="K12" i="9"/>
  <c r="J22" i="9"/>
  <c r="I25" i="9"/>
  <c r="I17" i="11" s="1"/>
  <c r="J10" i="9"/>
  <c r="I22" i="9"/>
  <c r="H25" i="9"/>
  <c r="H17" i="11" s="1"/>
  <c r="H10" i="9"/>
  <c r="J16" i="9"/>
  <c r="J16" i="11" s="1"/>
  <c r="H22" i="9"/>
  <c r="D22" i="9"/>
  <c r="E25" i="9"/>
  <c r="E17" i="11" s="1"/>
  <c r="G22" i="9"/>
  <c r="E16" i="9"/>
  <c r="E16" i="11" s="1"/>
  <c r="M22" i="9"/>
  <c r="C16" i="9"/>
  <c r="C16" i="11" s="1"/>
  <c r="M25" i="9"/>
  <c r="D12" i="9"/>
  <c r="F22" i="9"/>
  <c r="F25" i="9"/>
  <c r="F17" i="11" s="1"/>
  <c r="I10" i="9"/>
  <c r="F10" i="9"/>
  <c r="L16" i="9"/>
  <c r="L16" i="11" s="1"/>
  <c r="E10" i="9"/>
  <c r="L22" i="9"/>
  <c r="I12" i="9"/>
  <c r="H12" i="9"/>
  <c r="D16" i="9"/>
  <c r="D16" i="11" s="1"/>
  <c r="H16" i="9"/>
  <c r="H16" i="11" s="1"/>
  <c r="F16" i="9"/>
  <c r="F16" i="11" s="1"/>
  <c r="G12" i="9"/>
  <c r="I16" i="9"/>
  <c r="I16" i="11" s="1"/>
  <c r="G16" i="9"/>
  <c r="G16" i="11" s="1"/>
  <c r="G10" i="9"/>
  <c r="N11" i="1"/>
  <c r="M11" i="1"/>
  <c r="L19" i="1"/>
  <c r="L24" i="1" s="1"/>
  <c r="L7" i="1"/>
  <c r="D24" i="2"/>
  <c r="K24" i="2"/>
  <c r="I23" i="2"/>
  <c r="J23" i="1"/>
  <c r="E20" i="2"/>
  <c r="H14" i="1"/>
  <c r="J25" i="1" s="1"/>
  <c r="J16" i="2"/>
  <c r="I23" i="1"/>
  <c r="C20" i="2"/>
  <c r="L8" i="1"/>
  <c r="N8" i="1" s="1"/>
  <c r="J24" i="2"/>
  <c r="G20" i="2"/>
  <c r="D14" i="3"/>
  <c r="B20" i="2"/>
  <c r="H24" i="2"/>
  <c r="F24" i="2"/>
  <c r="E24" i="2"/>
  <c r="F21" i="2"/>
  <c r="C14" i="3"/>
  <c r="B14" i="3"/>
  <c r="G21" i="2"/>
  <c r="I14" i="1"/>
  <c r="K25" i="1" s="1"/>
  <c r="M25" i="1" s="1"/>
  <c r="M14" i="1" s="1"/>
  <c r="C24" i="2"/>
  <c r="K14" i="3"/>
  <c r="I24" i="2"/>
  <c r="B16" i="2"/>
  <c r="G24" i="2"/>
  <c r="C23" i="2"/>
  <c r="E14" i="1"/>
  <c r="K24" i="1"/>
  <c r="L9" i="1"/>
  <c r="E16" i="2"/>
  <c r="E23" i="2"/>
  <c r="M9" i="1"/>
  <c r="N9" i="1"/>
  <c r="H25" i="1"/>
  <c r="I25" i="1"/>
  <c r="I20" i="2"/>
  <c r="H20" i="2"/>
  <c r="K23" i="1"/>
  <c r="M23" i="1" s="1"/>
  <c r="M4" i="1" s="1"/>
  <c r="H6" i="1"/>
  <c r="H19" i="1" s="1"/>
  <c r="F6" i="1"/>
  <c r="F19" i="1" s="1"/>
  <c r="E1" i="4"/>
  <c r="G64" i="9" l="1"/>
  <c r="G66" i="9" s="1"/>
  <c r="J24" i="1"/>
  <c r="H24" i="1"/>
  <c r="F64" i="9"/>
  <c r="F66" i="9" s="1"/>
  <c r="J64" i="9"/>
  <c r="J66" i="9" s="1"/>
  <c r="E37" i="11"/>
  <c r="I64" i="9"/>
  <c r="I66" i="9" s="1"/>
  <c r="G37" i="11"/>
  <c r="H35" i="11"/>
  <c r="I39" i="11"/>
  <c r="M24" i="1"/>
  <c r="M6" i="1" s="1"/>
  <c r="M10" i="1" s="1"/>
  <c r="M12" i="1" s="1"/>
  <c r="M13" i="1" s="1"/>
  <c r="M15" i="1" s="1"/>
  <c r="N23" i="1"/>
  <c r="N4" i="1" s="1"/>
  <c r="I24" i="1"/>
  <c r="H64" i="9"/>
  <c r="H66" i="9" s="1"/>
  <c r="M8" i="1"/>
  <c r="E39" i="11"/>
  <c r="E64" i="9"/>
  <c r="E66" i="9" s="1"/>
  <c r="D37" i="11"/>
  <c r="J100" i="9"/>
  <c r="K64" i="9"/>
  <c r="K66" i="9" s="1"/>
  <c r="L64" i="9"/>
  <c r="L38" i="11" s="1"/>
  <c r="J37" i="11"/>
  <c r="M50" i="9"/>
  <c r="K39" i="11"/>
  <c r="K100" i="9"/>
  <c r="H100" i="9"/>
  <c r="H37" i="11"/>
  <c r="F38" i="11"/>
  <c r="D64" i="9"/>
  <c r="F100" i="9"/>
  <c r="J38" i="11"/>
  <c r="F39" i="11"/>
  <c r="F37" i="11"/>
  <c r="L100" i="9"/>
  <c r="F35" i="11"/>
  <c r="I100" i="9"/>
  <c r="D100" i="9"/>
  <c r="L39" i="11"/>
  <c r="C64" i="9"/>
  <c r="C66" i="9" s="1"/>
  <c r="E35" i="11"/>
  <c r="K35" i="11"/>
  <c r="N5" i="11"/>
  <c r="O5" i="11"/>
  <c r="D35" i="11"/>
  <c r="J35" i="11"/>
  <c r="N26" i="11"/>
  <c r="O26" i="11"/>
  <c r="C32" i="11"/>
  <c r="O16" i="11"/>
  <c r="N16" i="11"/>
  <c r="C33" i="11"/>
  <c r="N27" i="11"/>
  <c r="O27" i="11"/>
  <c r="J19" i="9"/>
  <c r="J11" i="11" s="1"/>
  <c r="J12" i="11"/>
  <c r="J18" i="11" s="1"/>
  <c r="J20" i="11"/>
  <c r="J24" i="11"/>
  <c r="N28" i="11"/>
  <c r="O28" i="11"/>
  <c r="C34" i="11"/>
  <c r="I35" i="11"/>
  <c r="O17" i="11"/>
  <c r="N17" i="11"/>
  <c r="O30" i="11"/>
  <c r="N30" i="11"/>
  <c r="J13" i="9"/>
  <c r="J10" i="11" s="1"/>
  <c r="M48" i="9"/>
  <c r="C39" i="11"/>
  <c r="C37" i="11"/>
  <c r="L35" i="11"/>
  <c r="C13" i="9"/>
  <c r="C10" i="11" s="1"/>
  <c r="C18" i="9"/>
  <c r="N29" i="11"/>
  <c r="O29" i="11"/>
  <c r="G35" i="11"/>
  <c r="G38" i="11"/>
  <c r="M18" i="9"/>
  <c r="M19" i="9" s="1"/>
  <c r="M13" i="9"/>
  <c r="D18" i="9"/>
  <c r="D13" i="9"/>
  <c r="D10" i="11" s="1"/>
  <c r="L18" i="9"/>
  <c r="E18" i="9"/>
  <c r="E13" i="9"/>
  <c r="E10" i="11" s="1"/>
  <c r="F18" i="9"/>
  <c r="F13" i="9"/>
  <c r="F10" i="11" s="1"/>
  <c r="H18" i="9"/>
  <c r="H13" i="9"/>
  <c r="H10" i="11" s="1"/>
  <c r="K18" i="9"/>
  <c r="K13" i="9"/>
  <c r="K10" i="11" s="1"/>
  <c r="I18" i="9"/>
  <c r="I13" i="9"/>
  <c r="I10" i="11" s="1"/>
  <c r="J31" i="9"/>
  <c r="J33" i="9"/>
  <c r="J28" i="9"/>
  <c r="J13" i="11" s="1"/>
  <c r="G18" i="9"/>
  <c r="G13" i="9"/>
  <c r="G10" i="11" s="1"/>
  <c r="N25" i="1"/>
  <c r="N14" i="1" s="1"/>
  <c r="I38" i="11" l="1"/>
  <c r="N24" i="1"/>
  <c r="N6" i="1" s="1"/>
  <c r="E6" i="11"/>
  <c r="E38" i="11"/>
  <c r="H38" i="11"/>
  <c r="D6" i="11"/>
  <c r="N10" i="1"/>
  <c r="N12" i="1" s="1"/>
  <c r="N13" i="1" s="1"/>
  <c r="N5" i="1"/>
  <c r="K38" i="11"/>
  <c r="D66" i="9"/>
  <c r="D38" i="11"/>
  <c r="C38" i="11"/>
  <c r="J22" i="11"/>
  <c r="C12" i="11"/>
  <c r="C27" i="9"/>
  <c r="C31" i="9" s="1"/>
  <c r="C20" i="11"/>
  <c r="C24" i="11"/>
  <c r="N10" i="11"/>
  <c r="O10" i="11"/>
  <c r="N32" i="11"/>
  <c r="O32" i="11"/>
  <c r="C35" i="11"/>
  <c r="E24" i="11"/>
  <c r="E20" i="11"/>
  <c r="E12" i="11"/>
  <c r="E18" i="11" s="1"/>
  <c r="O33" i="11"/>
  <c r="N33" i="11"/>
  <c r="L24" i="11"/>
  <c r="L6" i="11"/>
  <c r="L12" i="11"/>
  <c r="L18" i="11" s="1"/>
  <c r="L20" i="11"/>
  <c r="O34" i="11"/>
  <c r="N34" i="11"/>
  <c r="D24" i="11"/>
  <c r="D20" i="11"/>
  <c r="D12" i="11"/>
  <c r="D18" i="11" s="1"/>
  <c r="I20" i="11"/>
  <c r="I12" i="11"/>
  <c r="I18" i="11" s="1"/>
  <c r="I6" i="11"/>
  <c r="I24" i="11"/>
  <c r="K12" i="11"/>
  <c r="K18" i="11" s="1"/>
  <c r="K6" i="11"/>
  <c r="K20" i="11"/>
  <c r="K24" i="11"/>
  <c r="O37" i="11"/>
  <c r="N37" i="11"/>
  <c r="J6" i="11"/>
  <c r="H20" i="11"/>
  <c r="H12" i="11"/>
  <c r="H18" i="11" s="1"/>
  <c r="H6" i="11"/>
  <c r="H24" i="11"/>
  <c r="O39" i="11"/>
  <c r="N39" i="11"/>
  <c r="F6" i="11"/>
  <c r="F20" i="11"/>
  <c r="F12" i="11"/>
  <c r="F18" i="11" s="1"/>
  <c r="F24" i="11"/>
  <c r="M51" i="9"/>
  <c r="G20" i="11"/>
  <c r="G12" i="11"/>
  <c r="G18" i="11" s="1"/>
  <c r="G6" i="11"/>
  <c r="G24" i="11"/>
  <c r="H19" i="9"/>
  <c r="H11" i="11" s="1"/>
  <c r="H27" i="9"/>
  <c r="J34" i="9"/>
  <c r="J14" i="11" s="1"/>
  <c r="J38" i="9"/>
  <c r="F19" i="9"/>
  <c r="F11" i="11" s="1"/>
  <c r="F27" i="9"/>
  <c r="E19" i="9"/>
  <c r="E11" i="11" s="1"/>
  <c r="E27" i="9"/>
  <c r="C11" i="11"/>
  <c r="L19" i="9"/>
  <c r="L11" i="11" s="1"/>
  <c r="L27" i="9"/>
  <c r="I19" i="9"/>
  <c r="I11" i="11" s="1"/>
  <c r="I27" i="9"/>
  <c r="D19" i="9"/>
  <c r="D11" i="11" s="1"/>
  <c r="D27" i="9"/>
  <c r="G19" i="9"/>
  <c r="G11" i="11" s="1"/>
  <c r="G27" i="9"/>
  <c r="K19" i="9"/>
  <c r="K11" i="11" s="1"/>
  <c r="K27" i="9"/>
  <c r="K7" i="11" s="1"/>
  <c r="N15" i="1"/>
  <c r="M5" i="1"/>
  <c r="J42" i="9" l="1"/>
  <c r="J44" i="9" s="1"/>
  <c r="J21" i="11" s="1"/>
  <c r="J23" i="11" s="1"/>
  <c r="D7" i="11"/>
  <c r="N38" i="11"/>
  <c r="O38" i="11"/>
  <c r="E7" i="11"/>
  <c r="L28" i="9"/>
  <c r="L13" i="11" s="1"/>
  <c r="L7" i="11"/>
  <c r="O35" i="11"/>
  <c r="N35" i="11"/>
  <c r="O20" i="11"/>
  <c r="N20" i="11"/>
  <c r="N11" i="11"/>
  <c r="O11" i="11"/>
  <c r="O12" i="11"/>
  <c r="N12" i="11"/>
  <c r="C18" i="11"/>
  <c r="F7" i="11"/>
  <c r="G7" i="11"/>
  <c r="H7" i="11"/>
  <c r="I7" i="11"/>
  <c r="J7" i="11"/>
  <c r="N6" i="11"/>
  <c r="O6" i="11"/>
  <c r="N24" i="11"/>
  <c r="O24" i="11"/>
  <c r="C33" i="9"/>
  <c r="C38" i="9" s="1"/>
  <c r="C28" i="9"/>
  <c r="C13" i="11" s="1"/>
  <c r="G28" i="9"/>
  <c r="G13" i="11" s="1"/>
  <c r="G33" i="9"/>
  <c r="G31" i="9"/>
  <c r="E28" i="9"/>
  <c r="E13" i="11" s="1"/>
  <c r="E33" i="9"/>
  <c r="E31" i="9"/>
  <c r="F28" i="9"/>
  <c r="F13" i="11" s="1"/>
  <c r="F33" i="9"/>
  <c r="F31" i="9"/>
  <c r="L33" i="9"/>
  <c r="L31" i="9"/>
  <c r="K33" i="9"/>
  <c r="K28" i="9"/>
  <c r="K13" i="11" s="1"/>
  <c r="K31" i="9"/>
  <c r="I28" i="9"/>
  <c r="I13" i="11" s="1"/>
  <c r="I33" i="9"/>
  <c r="I31" i="9"/>
  <c r="H28" i="9"/>
  <c r="H13" i="11" s="1"/>
  <c r="H33" i="9"/>
  <c r="H31" i="9"/>
  <c r="D28" i="9"/>
  <c r="D13" i="11" s="1"/>
  <c r="D33" i="9"/>
  <c r="D31" i="9"/>
  <c r="C42" i="9" l="1"/>
  <c r="C44" i="9" s="1"/>
  <c r="C21" i="11" s="1"/>
  <c r="D22" i="11"/>
  <c r="D8" i="11"/>
  <c r="K22" i="11"/>
  <c r="K8" i="11"/>
  <c r="O7" i="11"/>
  <c r="N7" i="11"/>
  <c r="E22" i="11"/>
  <c r="E8" i="11"/>
  <c r="G22" i="11"/>
  <c r="G8" i="11"/>
  <c r="L22" i="11"/>
  <c r="L8" i="11"/>
  <c r="F22" i="11"/>
  <c r="F8" i="11"/>
  <c r="H8" i="11"/>
  <c r="H22" i="11"/>
  <c r="I22" i="11"/>
  <c r="I8" i="11"/>
  <c r="J8" i="11"/>
  <c r="O18" i="11"/>
  <c r="N18" i="11"/>
  <c r="O13" i="11"/>
  <c r="N13" i="11"/>
  <c r="C22" i="11"/>
  <c r="H38" i="9"/>
  <c r="H34" i="9"/>
  <c r="H14" i="11" s="1"/>
  <c r="I38" i="9"/>
  <c r="I34" i="9"/>
  <c r="I14" i="11" s="1"/>
  <c r="E38" i="9"/>
  <c r="E34" i="9"/>
  <c r="E14" i="11" s="1"/>
  <c r="G38" i="9"/>
  <c r="G34" i="9"/>
  <c r="G14" i="11" s="1"/>
  <c r="F38" i="9"/>
  <c r="F34" i="9"/>
  <c r="F14" i="11" s="1"/>
  <c r="D34" i="9"/>
  <c r="D14" i="11" s="1"/>
  <c r="D38" i="9"/>
  <c r="K34" i="9"/>
  <c r="K14" i="11" s="1"/>
  <c r="K38" i="9"/>
  <c r="L34" i="9"/>
  <c r="L14" i="11" s="1"/>
  <c r="L38" i="9"/>
  <c r="C34" i="9"/>
  <c r="C14" i="11" s="1"/>
  <c r="C23" i="11" l="1"/>
  <c r="F44" i="9"/>
  <c r="F21" i="11" s="1"/>
  <c r="F23" i="11" s="1"/>
  <c r="F42" i="9"/>
  <c r="I42" i="9"/>
  <c r="I44" i="9" s="1"/>
  <c r="I21" i="11" s="1"/>
  <c r="I23" i="11" s="1"/>
  <c r="D42" i="9"/>
  <c r="D44" i="9" s="1"/>
  <c r="D21" i="11" s="1"/>
  <c r="G44" i="9"/>
  <c r="G21" i="11" s="1"/>
  <c r="G23" i="11" s="1"/>
  <c r="G42" i="9"/>
  <c r="E42" i="9"/>
  <c r="E44" i="9" s="1"/>
  <c r="E21" i="11" s="1"/>
  <c r="E23" i="11" s="1"/>
  <c r="L42" i="9"/>
  <c r="L44" i="9" s="1"/>
  <c r="L21" i="11" s="1"/>
  <c r="L23" i="11" s="1"/>
  <c r="K42" i="9"/>
  <c r="K44" i="9" s="1"/>
  <c r="K21" i="11" s="1"/>
  <c r="K23" i="11" s="1"/>
  <c r="H44" i="9"/>
  <c r="H21" i="11" s="1"/>
  <c r="H23" i="11" s="1"/>
  <c r="H42" i="9"/>
  <c r="N14" i="11"/>
  <c r="O14" i="11"/>
  <c r="O8" i="11"/>
  <c r="N8" i="11"/>
  <c r="N22" i="11"/>
  <c r="O22" i="11"/>
  <c r="D23" i="11" l="1"/>
  <c r="O21" i="11"/>
  <c r="N21" i="11"/>
  <c r="O23" i="11"/>
  <c r="N23" i="11"/>
</calcChain>
</file>

<file path=xl/sharedStrings.xml><?xml version="1.0" encoding="utf-8"?>
<sst xmlns="http://schemas.openxmlformats.org/spreadsheetml/2006/main" count="313" uniqueCount="176">
  <si>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</si>
  <si>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</si>
  <si>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</si>
  <si>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</si>
  <si>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</si>
  <si>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</si>
  <si>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</si>
  <si>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</si>
  <si>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</si>
  <si>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</si>
  <si>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</si>
  <si>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</si>
  <si>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</si>
  <si>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</si>
  <si>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</si>
  <si>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</si>
  <si>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</si>
  <si>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</si>
  <si>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</si>
  <si>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</si>
  <si>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</si>
  <si>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</si>
  <si>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</si>
  <si>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</si>
  <si>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</si>
  <si>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</si>
  <si>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</si>
  <si>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</si>
  <si>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</si>
  <si>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</si>
  <si>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</si>
  <si>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</si>
  <si>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</si>
  <si>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</si>
  <si>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</si>
  <si>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</si>
  <si>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</si>
  <si>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</si>
  <si>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</si>
  <si>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</si>
  <si>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</si>
  <si>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</si>
  <si>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</si>
  <si>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</si>
  <si>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</si>
  <si>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</si>
  <si>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</si>
  <si>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</si>
  <si>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</si>
  <si>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</si>
  <si>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</si>
  <si>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</si>
  <si>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</si>
  <si>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</si>
  <si>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</si>
  <si>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</si>
  <si>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</si>
  <si>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</si>
  <si>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</si>
  <si>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</si>
  <si>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</si>
  <si>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</si>
  <si>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</si>
  <si>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</si>
  <si>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</si>
  <si>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</si>
  <si>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</si>
  <si>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</si>
  <si>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</si>
  <si>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</si>
  <si>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</si>
  <si>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</si>
  <si>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</si>
  <si>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</si>
  <si>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</si>
  <si>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</si>
  <si>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</si>
  <si>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</si>
  <si>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</si>
  <si>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</si>
  <si>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</si>
  <si>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</si>
  <si>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</si>
  <si>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</si>
  <si>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</si>
  <si>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COGS</t>
  </si>
  <si>
    <t>COGS % sales</t>
  </si>
  <si>
    <t>Gross Profit</t>
  </si>
  <si>
    <t>Selling &amp; Admin Exp.</t>
  </si>
  <si>
    <t>S &amp; A % Sales</t>
  </si>
  <si>
    <t>EBITDA</t>
  </si>
  <si>
    <t>EBITDA % Sales</t>
  </si>
  <si>
    <t>Interest % Sales</t>
  </si>
  <si>
    <t>Depreciation % Sales</t>
  </si>
  <si>
    <t>Gross Margin</t>
  </si>
  <si>
    <t>Earning Before Tax</t>
  </si>
  <si>
    <t>EBT % Sales</t>
  </si>
  <si>
    <t>Effective Tax Rate</t>
  </si>
  <si>
    <t>Net Profit</t>
  </si>
  <si>
    <t>Net Margin</t>
  </si>
  <si>
    <t>No. of Shares</t>
  </si>
  <si>
    <t>Earning Per Shares</t>
  </si>
  <si>
    <t>EPS Growth %</t>
  </si>
  <si>
    <t>Total Liability</t>
  </si>
  <si>
    <t>Fixed Assets Net Block</t>
  </si>
  <si>
    <t>Total Non Assets</t>
  </si>
  <si>
    <t>Total Current Assets</t>
  </si>
  <si>
    <t>Total Assets</t>
  </si>
  <si>
    <t>Balance Sheet</t>
  </si>
  <si>
    <t>Check Balance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</si>
  <si>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</si>
  <si>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</si>
  <si>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</si>
  <si>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</si>
  <si>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</si>
  <si>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</si>
  <si>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</si>
  <si>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</si>
  <si>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</si>
  <si>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</si>
  <si>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</si>
  <si>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Acquisition of companies</t>
  </si>
  <si>
    <t>Other investing items</t>
  </si>
  <si>
    <t>Proceeds from shares</t>
  </si>
  <si>
    <t>Repayment of borrowings</t>
  </si>
  <si>
    <t>Dividends paid</t>
  </si>
  <si>
    <t>Financial liabilities</t>
  </si>
  <si>
    <t>Other financing items</t>
  </si>
  <si>
    <t xml:space="preserve"> </t>
  </si>
  <si>
    <t>Cashflow Statement</t>
  </si>
  <si>
    <t>Opreating Activities</t>
  </si>
  <si>
    <t>Cash From Opreating Activities</t>
  </si>
  <si>
    <t>Investing  Activities</t>
  </si>
  <si>
    <t>Cash From Investing Activities</t>
  </si>
  <si>
    <t>Financial Activities</t>
  </si>
  <si>
    <t>Cash From Financial Activities</t>
  </si>
  <si>
    <t xml:space="preserve">Net Cashflow </t>
  </si>
  <si>
    <t>SalesGrowth</t>
  </si>
  <si>
    <t>EBITDA Growth</t>
  </si>
  <si>
    <t>EBIT Growth</t>
  </si>
  <si>
    <t>Net Profit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</si>
  <si>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</si>
  <si>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</si>
  <si>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</si>
  <si>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</si>
  <si>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</si>
  <si>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</si>
  <si>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</si>
  <si>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</si>
  <si>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</si>
  <si>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</si>
  <si>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</si>
  <si>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</si>
  <si>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</si>
  <si>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</si>
  <si>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</si>
  <si>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</si>
  <si>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</si>
  <si>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</si>
  <si>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</si>
  <si>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</si>
  <si>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</si>
  <si>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</si>
  <si>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Trend</t>
  </si>
  <si>
    <t>Mean</t>
  </si>
  <si>
    <t>Median</t>
  </si>
  <si>
    <t>-</t>
  </si>
  <si>
    <t>Dividends received</t>
  </si>
  <si>
    <t>Inter corporate deposits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</si>
  <si>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</si>
  <si>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</si>
  <si>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</si>
  <si>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Dividend received</t>
  </si>
  <si>
    <t>Dividend Per Share</t>
  </si>
  <si>
    <t>Dividend Payout Ratio</t>
  </si>
  <si>
    <t>Retained 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</si>
</sst>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\₹#,##0.0\ ;\(\₹#,##0.0\);\-"/>
    <numFmt numFmtId="167" formatCode="0.00\ &quot;x&quot;"/>
    <numFmt numFmtId="168" formatCode="0.00\ &quot;days&quot;"/>
    <numFmt numFmtId="169" formatCode="[$-409]mmm\-yy;@\ &quot;A&quot;"/>
    <numFmt numFmtId="170" formatCode="[$-409]mmm\-yy;@\ "/>
    <numFmt numFmtId="171" formatCode="#,##0.0_);\(#,##0.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1"/>
      <color theme="1"/>
      <name val="Calibri"/>
      <family val="2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22222F"/>
      <name val="Arial"/>
      <family val="2"/>
    </font>
    <font>
      <sz val="11"/>
      <color rgb="FF665EF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DBE4F0"/>
      </top>
      <bottom/>
      <diagonal/>
    </border>
    <border>
      <left/>
      <right/>
      <top style="hair">
        <color theme="8" tint="-0.24994659260841701"/>
      </top>
      <bottom style="hair">
        <color theme="8" tint="-0.24994659260841701"/>
      </bottom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94">
    <xf numFmtId="0" fontId="0" fillId="0" borderId="0" xfId="0"/>
    <xf numFmtId="164" fontId="2" fillId="0" borderId="0" xfId="1" applyFont="1" applyBorder="1"/>
    <xf numFmtId="0" fontId="2" fillId="0" borderId="0" xfId="0" applyFont="1"/>
    <xf numFmtId="0" fontId="7" fillId="0" borderId="0" xfId="0" applyFont="1"/>
    <xf numFmtId="164" fontId="0" fillId="0" borderId="0" xfId="1" applyFont="1" applyBorder="1"/>
    <xf numFmtId="10" fontId="0" fillId="0" borderId="0" xfId="0" applyNumberFormat="1"/>
    <xf numFmtId="164" fontId="4" fillId="0" borderId="0" xfId="1" applyFont="1" applyBorder="1"/>
    <xf numFmtId="9" fontId="4" fillId="0" borderId="0" xfId="1" applyNumberFormat="1" applyFont="1" applyBorder="1"/>
    <xf numFmtId="164" fontId="3" fillId="2" borderId="0" xfId="3" applyNumberFormat="1" applyFont="1" applyBorder="1"/>
    <xf numFmtId="164" fontId="3" fillId="3" borderId="0" xfId="4" applyNumberFormat="1" applyFont="1" applyBorder="1"/>
    <xf numFmtId="9" fontId="2" fillId="0" borderId="0" xfId="6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2" fillId="0" borderId="0" xfId="1" applyFont="1" applyBorder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8" fillId="0" borderId="0" xfId="1" applyNumberFormat="1" applyFont="1" applyFill="1" applyBorder="1"/>
    <xf numFmtId="0" fontId="8" fillId="0" borderId="0" xfId="0" applyFont="1"/>
    <xf numFmtId="43" fontId="0" fillId="0" borderId="0" xfId="1" applyNumberFormat="1" applyFont="1" applyBorder="1"/>
    <xf numFmtId="165" fontId="3" fillId="6" borderId="0" xfId="0" applyNumberFormat="1" applyFont="1" applyFill="1" applyAlignment="1">
      <alignment horizontal="center"/>
    </xf>
    <xf numFmtId="166" fontId="0" fillId="0" borderId="0" xfId="0" applyNumberFormat="1"/>
    <xf numFmtId="10" fontId="9" fillId="0" borderId="0" xfId="6" applyNumberFormat="1" applyFont="1"/>
    <xf numFmtId="0" fontId="0" fillId="7" borderId="0" xfId="0" applyFill="1"/>
    <xf numFmtId="165" fontId="3" fillId="7" borderId="0" xfId="0" applyNumberFormat="1" applyFont="1" applyFill="1" applyAlignment="1">
      <alignment horizontal="center"/>
    </xf>
    <xf numFmtId="165" fontId="3" fillId="7" borderId="0" xfId="0" applyNumberFormat="1" applyFont="1" applyFill="1" applyAlignment="1">
      <alignment horizontal="right"/>
    </xf>
    <xf numFmtId="164" fontId="10" fillId="0" borderId="0" xfId="7" applyFont="1" applyBorder="1"/>
    <xf numFmtId="164" fontId="11" fillId="0" borderId="0" xfId="7" applyFont="1" applyBorder="1"/>
    <xf numFmtId="0" fontId="2" fillId="8" borderId="0" xfId="0" applyFont="1" applyFill="1"/>
    <xf numFmtId="0" fontId="13" fillId="10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right" vertical="center" wrapText="1"/>
    </xf>
    <xf numFmtId="3" fontId="13" fillId="10" borderId="0" xfId="0" applyNumberFormat="1" applyFont="1" applyFill="1" applyAlignment="1">
      <alignment horizontal="right" vertical="center" wrapText="1"/>
    </xf>
    <xf numFmtId="0" fontId="12" fillId="9" borderId="1" xfId="0" applyFont="1" applyFill="1" applyBorder="1" applyAlignment="1">
      <alignment horizontal="left" vertical="center" indent="2"/>
    </xf>
    <xf numFmtId="0" fontId="12" fillId="9" borderId="1" xfId="0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0" xfId="0" applyFont="1"/>
    <xf numFmtId="10" fontId="16" fillId="0" borderId="0" xfId="6" applyNumberFormat="1" applyFont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3" xfId="6" applyNumberFormat="1" applyFont="1" applyBorder="1"/>
    <xf numFmtId="10" fontId="0" fillId="0" borderId="0" xfId="6" applyNumberFormat="1" applyFont="1" applyBorder="1"/>
    <xf numFmtId="10" fontId="0" fillId="0" borderId="0" xfId="6" applyNumberFormat="1" applyFont="1"/>
    <xf numFmtId="10" fontId="0" fillId="0" borderId="4" xfId="6" applyNumberFormat="1" applyFont="1" applyBorder="1"/>
    <xf numFmtId="10" fontId="0" fillId="0" borderId="6" xfId="0" applyNumberFormat="1" applyBorder="1"/>
    <xf numFmtId="10" fontId="0" fillId="0" borderId="5" xfId="6" applyNumberFormat="1" applyFont="1" applyBorder="1"/>
    <xf numFmtId="167" fontId="0" fillId="0" borderId="3" xfId="6" applyNumberFormat="1" applyFont="1" applyBorder="1"/>
    <xf numFmtId="167" fontId="0" fillId="0" borderId="0" xfId="6" applyNumberFormat="1" applyFont="1" applyBorder="1"/>
    <xf numFmtId="167" fontId="0" fillId="0" borderId="4" xfId="6" applyNumberFormat="1" applyFont="1" applyBorder="1"/>
    <xf numFmtId="168" fontId="0" fillId="0" borderId="5" xfId="0" applyNumberFormat="1" applyBorder="1"/>
    <xf numFmtId="168" fontId="0" fillId="0" borderId="0" xfId="0" applyNumberFormat="1"/>
    <xf numFmtId="168" fontId="0" fillId="0" borderId="6" xfId="0" applyNumberFormat="1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10" fontId="0" fillId="0" borderId="0" xfId="6" applyNumberFormat="1" applyFont="1" applyBorder="1" applyAlignment="1">
      <alignment horizontal="right"/>
    </xf>
    <xf numFmtId="0" fontId="2" fillId="7" borderId="0" xfId="0" applyFont="1" applyFill="1"/>
    <xf numFmtId="170" fontId="3" fillId="6" borderId="0" xfId="0" applyNumberFormat="1" applyFont="1" applyFill="1" applyAlignment="1">
      <alignment horizontal="right"/>
    </xf>
    <xf numFmtId="0" fontId="17" fillId="10" borderId="1" xfId="0" applyFont="1" applyFill="1" applyBorder="1" applyAlignment="1">
      <alignment horizontal="left" vertical="center" indent="2"/>
    </xf>
    <xf numFmtId="3" fontId="17" fillId="10" borderId="1" xfId="0" applyNumberFormat="1" applyFont="1" applyFill="1" applyBorder="1" applyAlignment="1">
      <alignment horizontal="right" vertical="center" wrapText="1"/>
    </xf>
    <xf numFmtId="0" fontId="17" fillId="10" borderId="1" xfId="0" applyFont="1" applyFill="1" applyBorder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3" fontId="12" fillId="10" borderId="0" xfId="0" applyNumberFormat="1" applyFont="1" applyFill="1" applyAlignment="1">
      <alignment horizontal="right" vertical="center" wrapText="1"/>
    </xf>
    <xf numFmtId="0" fontId="12" fillId="10" borderId="0" xfId="0" applyFont="1" applyFill="1" applyAlignment="1">
      <alignment horizontal="right" vertical="center" wrapText="1"/>
    </xf>
    <xf numFmtId="0" fontId="17" fillId="10" borderId="1" xfId="0" applyFont="1" applyFill="1" applyBorder="1" applyAlignment="1">
      <alignment horizontal="right" vertical="center" wrapText="1"/>
    </xf>
    <xf numFmtId="0" fontId="17" fillId="9" borderId="1" xfId="0" applyFont="1" applyFill="1" applyBorder="1" applyAlignment="1">
      <alignment horizontal="left" vertical="center" indent="2"/>
    </xf>
    <xf numFmtId="3" fontId="17" fillId="9" borderId="1" xfId="0" applyNumberFormat="1" applyFont="1" applyFill="1" applyBorder="1" applyAlignment="1">
      <alignment horizontal="right" vertical="center" wrapText="1"/>
    </xf>
    <xf numFmtId="0" fontId="17" fillId="9" borderId="1" xfId="0" applyFont="1" applyFill="1" applyBorder="1" applyAlignment="1">
      <alignment horizontal="right" vertical="center" wrapText="1"/>
    </xf>
    <xf numFmtId="0" fontId="12" fillId="9" borderId="0" xfId="0" applyFont="1" applyFill="1" applyAlignment="1">
      <alignment horizontal="left" vertical="center"/>
    </xf>
    <xf numFmtId="3" fontId="12" fillId="9" borderId="0" xfId="0" applyNumberFormat="1" applyFont="1" applyFill="1" applyAlignment="1">
      <alignment horizontal="right" vertical="center" wrapText="1"/>
    </xf>
    <xf numFmtId="0" fontId="12" fillId="9" borderId="0" xfId="0" applyFont="1" applyFill="1" applyAlignment="1">
      <alignment horizontal="right" vertical="center" wrapText="1"/>
    </xf>
    <xf numFmtId="0" fontId="1" fillId="0" borderId="0" xfId="0" applyFont="1"/>
    <xf numFmtId="169" fontId="3" fillId="6" borderId="0" xfId="0" applyNumberFormat="1" applyFont="1" applyFill="1" applyAlignment="1">
      <alignment horizontal="right"/>
    </xf>
    <xf numFmtId="0" fontId="6" fillId="8" borderId="0" xfId="0" applyFont="1" applyFill="1" applyAlignment="1">
      <alignment horizontal="right"/>
    </xf>
    <xf numFmtId="166" fontId="0" fillId="0" borderId="0" xfId="0" applyNumberFormat="1" applyAlignment="1">
      <alignment horizontal="right"/>
    </xf>
    <xf numFmtId="10" fontId="16" fillId="0" borderId="0" xfId="6" applyNumberFormat="1" applyFont="1" applyAlignment="1">
      <alignment horizontal="right"/>
    </xf>
    <xf numFmtId="166" fontId="2" fillId="0" borderId="2" xfId="0" applyNumberFormat="1" applyFont="1" applyBorder="1" applyAlignment="1">
      <alignment horizontal="right"/>
    </xf>
    <xf numFmtId="10" fontId="8" fillId="0" borderId="0" xfId="6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0" fontId="9" fillId="0" borderId="0" xfId="6" applyNumberFormat="1" applyFont="1" applyAlignment="1">
      <alignment horizontal="right"/>
    </xf>
    <xf numFmtId="0" fontId="3" fillId="8" borderId="0" xfId="0" applyFont="1" applyFill="1" applyAlignment="1">
      <alignment horizontal="right"/>
    </xf>
    <xf numFmtId="166" fontId="0" fillId="0" borderId="2" xfId="0" applyNumberFormat="1" applyBorder="1" applyAlignment="1">
      <alignment horizontal="right"/>
    </xf>
    <xf numFmtId="0" fontId="2" fillId="0" borderId="7" xfId="0" applyFont="1" applyBorder="1"/>
    <xf numFmtId="166" fontId="2" fillId="0" borderId="7" xfId="0" applyNumberFormat="1" applyFont="1" applyBorder="1" applyAlignment="1">
      <alignment horizontal="right"/>
    </xf>
    <xf numFmtId="0" fontId="2" fillId="0" borderId="8" xfId="0" applyFont="1" applyBorder="1"/>
    <xf numFmtId="166" fontId="2" fillId="0" borderId="8" xfId="0" applyNumberFormat="1" applyFont="1" applyBorder="1" applyAlignment="1">
      <alignment horizontal="right"/>
    </xf>
    <xf numFmtId="171" fontId="0" fillId="0" borderId="0" xfId="0" applyNumberFormat="1"/>
    <xf numFmtId="0" fontId="3" fillId="6" borderId="0" xfId="0" applyFont="1" applyFill="1" applyAlignment="1">
      <alignment horizontal="center"/>
    </xf>
    <xf numFmtId="164" fontId="5" fillId="0" borderId="0" xfId="2" applyNumberFormat="1" applyBorder="1" applyAlignment="1" applyProtection="1">
      <alignment horizontal="center"/>
    </xf>
    <xf numFmtId="164" fontId="3" fillId="4" borderId="0" xfId="5" applyNumberFormat="1" applyFont="1" applyBorder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omma 2" xfId="7" xr:uid="{1171F582-A863-42D2-AA01-40BD24CF99EA}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I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62441</v>
      </c>
      <c r="C4" s="1">
        <f>'Data Sheet'!C17</f>
        <v>68484</v>
      </c>
      <c r="D4" s="1">
        <f>'Data Sheet'!D17</f>
        <v>70522</v>
      </c>
      <c r="E4" s="1">
        <f>'Data Sheet'!E17</f>
        <v>82675</v>
      </c>
      <c r="F4" s="1">
        <f>'Data Sheet'!F17</f>
        <v>90791</v>
      </c>
      <c r="G4" s="1">
        <f>'Data Sheet'!G17</f>
        <v>100472</v>
      </c>
      <c r="H4" s="1">
        <f>'Data Sheet'!H17</f>
        <v>121641</v>
      </c>
      <c r="I4" s="1">
        <f>'Data Sheet'!I17</f>
        <v>146767</v>
      </c>
      <c r="J4" s="1">
        <f>'Data Sheet'!J17</f>
        <v>153670</v>
      </c>
      <c r="K4" s="1">
        <f>'Data Sheet'!K17</f>
        <v>162990</v>
      </c>
      <c r="L4" s="1">
        <f>SUM(Quarters!H4:K4)</f>
        <v>173173</v>
      </c>
      <c r="M4" s="1">
        <f>$K4+M23*K4</f>
        <v>179688.91475688305</v>
      </c>
      <c r="N4" s="1">
        <f>$K4+N23*L4</f>
        <v>173809.19540462605</v>
      </c>
    </row>
    <row r="5" spans="1:14" x14ac:dyDescent="0.3">
      <c r="A5" t="s">
        <v>7</v>
      </c>
      <c r="B5" s="6">
        <f>SUM('Data Sheet'!B18,'Data Sheet'!B20:B24, -1*'Data Sheet'!B19)</f>
        <v>45362</v>
      </c>
      <c r="C5" s="6">
        <f>SUM('Data Sheet'!C18,'Data Sheet'!C20:C24, -1*'Data Sheet'!C19)</f>
        <v>49880</v>
      </c>
      <c r="D5" s="6">
        <f>SUM('Data Sheet'!D18,'Data Sheet'!D20:D24, -1*'Data Sheet'!D19)</f>
        <v>51700</v>
      </c>
      <c r="E5" s="6">
        <f>SUM('Data Sheet'!E18,'Data Sheet'!E20:E24, -1*'Data Sheet'!E19)</f>
        <v>62505</v>
      </c>
      <c r="F5" s="6">
        <f>SUM('Data Sheet'!F18,'Data Sheet'!F20:F24, -1*'Data Sheet'!F19)</f>
        <v>68524</v>
      </c>
      <c r="G5" s="6">
        <f>SUM('Data Sheet'!G18,'Data Sheet'!G20:G24, -1*'Data Sheet'!G19)</f>
        <v>72583</v>
      </c>
      <c r="H5" s="6">
        <f>SUM('Data Sheet'!H18,'Data Sheet'!H20:H24, -1*'Data Sheet'!H19)</f>
        <v>90150</v>
      </c>
      <c r="I5" s="6">
        <f>SUM('Data Sheet'!I18,'Data Sheet'!I20:I24, -1*'Data Sheet'!I19)</f>
        <v>111637</v>
      </c>
      <c r="J5" s="6">
        <f>SUM('Data Sheet'!J18,'Data Sheet'!J20:J24, -1*'Data Sheet'!J19)</f>
        <v>117245</v>
      </c>
      <c r="K5" s="6">
        <f>SUM('Data Sheet'!K18,'Data Sheet'!K20:K24, -1*'Data Sheet'!K19)</f>
        <v>123754</v>
      </c>
      <c r="L5" s="6">
        <f>SUM(Quarters!H5:K5)</f>
        <v>132187</v>
      </c>
      <c r="M5" s="6">
        <f t="shared" ref="M5:N5" si="0">M4-M6</f>
        <v>136730.87701883621</v>
      </c>
      <c r="N5" s="6">
        <f t="shared" si="0"/>
        <v>132672.62282775782</v>
      </c>
    </row>
    <row r="6" spans="1:14" s="2" customFormat="1" x14ac:dyDescent="0.3">
      <c r="A6" s="2" t="s">
        <v>8</v>
      </c>
      <c r="B6" s="1">
        <f>B4-B5</f>
        <v>17079</v>
      </c>
      <c r="C6" s="1">
        <f t="shared" ref="C6:K6" si="1">C4-C5</f>
        <v>18604</v>
      </c>
      <c r="D6" s="1">
        <f t="shared" si="1"/>
        <v>18822</v>
      </c>
      <c r="E6" s="1">
        <f t="shared" si="1"/>
        <v>20170</v>
      </c>
      <c r="F6" s="1">
        <f t="shared" si="1"/>
        <v>22267</v>
      </c>
      <c r="G6" s="1">
        <f t="shared" si="1"/>
        <v>27889</v>
      </c>
      <c r="H6" s="1">
        <f t="shared" si="1"/>
        <v>31491</v>
      </c>
      <c r="I6" s="1">
        <f t="shared" si="1"/>
        <v>35130</v>
      </c>
      <c r="J6" s="1">
        <f t="shared" si="1"/>
        <v>36425</v>
      </c>
      <c r="K6" s="1">
        <f t="shared" si="1"/>
        <v>39236</v>
      </c>
      <c r="L6" s="1">
        <f>SUM(Quarters!H6:K6)</f>
        <v>40986</v>
      </c>
      <c r="M6" s="1">
        <f>M4*M24</f>
        <v>42958.037738046834</v>
      </c>
      <c r="N6" s="1">
        <f>N4*N24</f>
        <v>41136.572576868239</v>
      </c>
    </row>
    <row r="7" spans="1:14" x14ac:dyDescent="0.3">
      <c r="A7" t="s">
        <v>9</v>
      </c>
      <c r="B7" s="6">
        <f>'Data Sheet'!B25</f>
        <v>3120</v>
      </c>
      <c r="C7" s="6">
        <f>'Data Sheet'!C25</f>
        <v>3050</v>
      </c>
      <c r="D7" s="6">
        <f>'Data Sheet'!D25</f>
        <v>3311</v>
      </c>
      <c r="E7" s="6">
        <f>'Data Sheet'!E25</f>
        <v>2882</v>
      </c>
      <c r="F7" s="6">
        <f>'Data Sheet'!F25</f>
        <v>2803</v>
      </c>
      <c r="G7" s="6">
        <f>'Data Sheet'!G25</f>
        <v>2201</v>
      </c>
      <c r="H7" s="6">
        <f>'Data Sheet'!H25</f>
        <v>2295</v>
      </c>
      <c r="I7" s="6">
        <f>'Data Sheet'!I25</f>
        <v>2701</v>
      </c>
      <c r="J7" s="6">
        <f>'Data Sheet'!J25</f>
        <v>4711</v>
      </c>
      <c r="K7" s="6">
        <f>'Data Sheet'!K25</f>
        <v>3600</v>
      </c>
      <c r="L7" s="6">
        <f>SUM(Quarters!H7:K7)</f>
        <v>3064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1459</v>
      </c>
      <c r="C8" s="6">
        <f>'Data Sheet'!C26</f>
        <v>1703</v>
      </c>
      <c r="D8" s="6">
        <f>'Data Sheet'!D26</f>
        <v>1863</v>
      </c>
      <c r="E8" s="6">
        <f>'Data Sheet'!E26</f>
        <v>2011</v>
      </c>
      <c r="F8" s="6">
        <f>'Data Sheet'!F26</f>
        <v>2893</v>
      </c>
      <c r="G8" s="6">
        <f>'Data Sheet'!G26</f>
        <v>3267</v>
      </c>
      <c r="H8" s="6">
        <f>'Data Sheet'!H26</f>
        <v>3476</v>
      </c>
      <c r="I8" s="6">
        <f>'Data Sheet'!I26</f>
        <v>4225</v>
      </c>
      <c r="J8" s="6">
        <f>'Data Sheet'!J26</f>
        <v>4678</v>
      </c>
      <c r="K8" s="6">
        <f>'Data Sheet'!K26</f>
        <v>4812</v>
      </c>
      <c r="L8" s="6">
        <f>SUM(Quarters!H8:K8)</f>
        <v>4776</v>
      </c>
      <c r="M8" s="6">
        <f>+$L8</f>
        <v>4776</v>
      </c>
      <c r="N8" s="6">
        <f>+$L8</f>
        <v>4776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170</v>
      </c>
      <c r="G9" s="6">
        <f>'Data Sheet'!G27</f>
        <v>195</v>
      </c>
      <c r="H9" s="6">
        <f>'Data Sheet'!H27</f>
        <v>200</v>
      </c>
      <c r="I9" s="6">
        <f>'Data Sheet'!I27</f>
        <v>284</v>
      </c>
      <c r="J9" s="6">
        <f>'Data Sheet'!J27</f>
        <v>470</v>
      </c>
      <c r="K9" s="6">
        <f>'Data Sheet'!K27</f>
        <v>416</v>
      </c>
      <c r="L9" s="6">
        <f>SUM(Quarters!H9:K9)</f>
        <v>413</v>
      </c>
      <c r="M9" s="6">
        <f>+$L9</f>
        <v>413</v>
      </c>
      <c r="N9" s="6">
        <f>+$L9</f>
        <v>413</v>
      </c>
    </row>
    <row r="10" spans="1:14" x14ac:dyDescent="0.3">
      <c r="A10" t="s">
        <v>12</v>
      </c>
      <c r="B10" s="6">
        <f>'Data Sheet'!B28</f>
        <v>18740</v>
      </c>
      <c r="C10" s="6">
        <f>'Data Sheet'!C28</f>
        <v>19951</v>
      </c>
      <c r="D10" s="6">
        <f>'Data Sheet'!D28</f>
        <v>20270</v>
      </c>
      <c r="E10" s="6">
        <f>'Data Sheet'!E28</f>
        <v>21041</v>
      </c>
      <c r="F10" s="6">
        <f>'Data Sheet'!F28</f>
        <v>22007</v>
      </c>
      <c r="G10" s="6">
        <f>'Data Sheet'!G28</f>
        <v>26628</v>
      </c>
      <c r="H10" s="6">
        <f>'Data Sheet'!H28</f>
        <v>30110</v>
      </c>
      <c r="I10" s="6">
        <f>'Data Sheet'!I28</f>
        <v>33322</v>
      </c>
      <c r="J10" s="6">
        <f>'Data Sheet'!J28</f>
        <v>35988</v>
      </c>
      <c r="K10" s="6">
        <f>'Data Sheet'!K28</f>
        <v>37608</v>
      </c>
      <c r="L10" s="6">
        <f>SUM(Quarters!H10:K10)</f>
        <v>38861</v>
      </c>
      <c r="M10" s="6">
        <f>M6+M7-SUM(M8:M9)</f>
        <v>37769.037738046834</v>
      </c>
      <c r="N10" s="6">
        <f>N6+N7-SUM(N8:N9)</f>
        <v>35947.572576868239</v>
      </c>
    </row>
    <row r="11" spans="1:14" x14ac:dyDescent="0.3">
      <c r="A11" t="s">
        <v>13</v>
      </c>
      <c r="B11" s="6">
        <f>'Data Sheet'!B29</f>
        <v>5251</v>
      </c>
      <c r="C11" s="6">
        <f>'Data Sheet'!C29</f>
        <v>5598</v>
      </c>
      <c r="D11" s="6">
        <f>'Data Sheet'!D29</f>
        <v>4241</v>
      </c>
      <c r="E11" s="6">
        <f>'Data Sheet'!E29</f>
        <v>5631</v>
      </c>
      <c r="F11" s="6">
        <f>'Data Sheet'!F29</f>
        <v>5368</v>
      </c>
      <c r="G11" s="6">
        <f>'Data Sheet'!G29</f>
        <v>7205</v>
      </c>
      <c r="H11" s="6">
        <f>'Data Sheet'!H29</f>
        <v>7964</v>
      </c>
      <c r="I11" s="6">
        <f>'Data Sheet'!I29</f>
        <v>9214</v>
      </c>
      <c r="J11" s="6">
        <f>'Data Sheet'!J29</f>
        <v>9740</v>
      </c>
      <c r="K11" s="6">
        <f>'Data Sheet'!K29</f>
        <v>10858</v>
      </c>
      <c r="L11" s="6">
        <f>SUM(Quarters!H11:K11)</f>
        <v>10858</v>
      </c>
      <c r="M11" s="7">
        <f>IF($L10&gt;0,$L11/$L10,0)</f>
        <v>0.27940608836622838</v>
      </c>
      <c r="N11" s="7">
        <f>IF($L10&gt;0,$L11/$L10,0)</f>
        <v>0.27940608836622838</v>
      </c>
    </row>
    <row r="12" spans="1:14" s="2" customFormat="1" x14ac:dyDescent="0.3">
      <c r="A12" s="2" t="s">
        <v>14</v>
      </c>
      <c r="B12" s="1">
        <f>'Data Sheet'!B30</f>
        <v>13489</v>
      </c>
      <c r="C12" s="1">
        <f>'Data Sheet'!C30</f>
        <v>14353</v>
      </c>
      <c r="D12" s="1">
        <f>'Data Sheet'!D30</f>
        <v>16029</v>
      </c>
      <c r="E12" s="1">
        <f>'Data Sheet'!E30</f>
        <v>15404</v>
      </c>
      <c r="F12" s="1">
        <f>'Data Sheet'!F30</f>
        <v>16594</v>
      </c>
      <c r="G12" s="1">
        <f>'Data Sheet'!G30</f>
        <v>19351</v>
      </c>
      <c r="H12" s="1">
        <f>'Data Sheet'!H30</f>
        <v>22110</v>
      </c>
      <c r="I12" s="1">
        <f>'Data Sheet'!I30</f>
        <v>24095</v>
      </c>
      <c r="J12" s="1">
        <f>'Data Sheet'!J30</f>
        <v>26233</v>
      </c>
      <c r="K12" s="1">
        <f>'Data Sheet'!K30</f>
        <v>26713</v>
      </c>
      <c r="L12" s="1">
        <f>SUM(Quarters!H12:K12)</f>
        <v>27972</v>
      </c>
      <c r="M12" s="1">
        <f>M10-M11*M10</f>
        <v>27216.138642302707</v>
      </c>
      <c r="N12" s="1">
        <f>N10-N11*N10</f>
        <v>25903.601936904386</v>
      </c>
    </row>
    <row r="13" spans="1:14" x14ac:dyDescent="0.3">
      <c r="A13" t="s">
        <v>48</v>
      </c>
      <c r="B13" s="6">
        <f>IF('Data Sheet'!B93&gt;0,B12/'Data Sheet'!B93,0)</f>
        <v>29.362850736846688</v>
      </c>
      <c r="C13" s="6">
        <f>IF('Data Sheet'!C93&gt;0,C12/'Data Sheet'!C93,0)</f>
        <v>31.243605650971944</v>
      </c>
      <c r="D13" s="6">
        <f>IF('Data Sheet'!D93&gt;0,D12/'Data Sheet'!D93,0)</f>
        <v>36.694748408955633</v>
      </c>
      <c r="E13" s="6">
        <f>IF('Data Sheet'!E93&gt;0,E12/'Data Sheet'!E93,0)</f>
        <v>35.258303005333154</v>
      </c>
      <c r="F13" s="6">
        <f>IF('Data Sheet'!F93&gt;0,F12/'Data Sheet'!F93,0)</f>
        <v>38.962197698990373</v>
      </c>
      <c r="G13" s="6">
        <f>IF('Data Sheet'!G93&gt;0,G12/'Data Sheet'!G93,0)</f>
        <v>45.417419672823712</v>
      </c>
      <c r="H13" s="6">
        <f>IF('Data Sheet'!H93&gt;0,H12/'Data Sheet'!H93,0)</f>
        <v>52.559013003066532</v>
      </c>
      <c r="I13" s="6">
        <f>IF('Data Sheet'!I93&gt;0,I12/'Data Sheet'!I93,0)</f>
        <v>58.079834160921756</v>
      </c>
      <c r="J13" s="6">
        <f>IF('Data Sheet'!J93&gt;0,J12/'Data Sheet'!J93,0)</f>
        <v>63.198342528126432</v>
      </c>
      <c r="K13" s="6">
        <f>IF('Data Sheet'!K93&gt;0,K12/'Data Sheet'!K93,0)</f>
        <v>64.317530638287636</v>
      </c>
      <c r="L13" s="6">
        <f>IF('Data Sheet'!$B6&gt;0,'Profit &amp; Loss'!L12/'Data Sheet'!$B6,0)</f>
        <v>68.97485197011116</v>
      </c>
      <c r="M13" s="6">
        <f>IF('Data Sheet'!$B6&gt;0,'Profit &amp; Loss'!M12/'Data Sheet'!$B6,0)</f>
        <v>67.111008653326593</v>
      </c>
      <c r="N13" s="6">
        <f>IF('Data Sheet'!$B6&gt;0,'Profit &amp; Loss'!N12/'Data Sheet'!$B6,0)</f>
        <v>63.874485524476796</v>
      </c>
    </row>
    <row r="14" spans="1:14" x14ac:dyDescent="0.3">
      <c r="A14" t="s">
        <v>16</v>
      </c>
      <c r="B14" s="6">
        <f>IF(B15&gt;0,B15/B13,"")</f>
        <v>20.745601490103045</v>
      </c>
      <c r="C14" s="6">
        <f t="shared" ref="C14:K14" si="2">IF(C15&gt;0,C15/C13,"")</f>
        <v>16.359507468821846</v>
      </c>
      <c r="D14" s="6">
        <f t="shared" si="2"/>
        <v>15.421825316613639</v>
      </c>
      <c r="E14" s="6">
        <f t="shared" si="2"/>
        <v>21.097158303038171</v>
      </c>
      <c r="F14" s="6">
        <f t="shared" si="2"/>
        <v>16.464676991683742</v>
      </c>
      <c r="G14" s="6">
        <f t="shared" si="2"/>
        <v>30.121702418479664</v>
      </c>
      <c r="H14" s="6">
        <f t="shared" si="2"/>
        <v>36.280171393034827</v>
      </c>
      <c r="I14" s="6">
        <f t="shared" si="2"/>
        <v>24.585986179705333</v>
      </c>
      <c r="J14" s="6">
        <f t="shared" si="2"/>
        <v>23.703944440208897</v>
      </c>
      <c r="K14" s="6">
        <f t="shared" si="2"/>
        <v>24.420247239171935</v>
      </c>
      <c r="L14" s="6">
        <f t="shared" ref="L14" si="3">IF(L13&gt;0,L15/L13,0)</f>
        <v>18.969232446732448</v>
      </c>
      <c r="M14" s="6">
        <f>M25</f>
        <v>22.919852576454655</v>
      </c>
      <c r="N14" s="6">
        <f>N25</f>
        <v>18.969232446732448</v>
      </c>
    </row>
    <row r="15" spans="1:14" s="2" customFormat="1" x14ac:dyDescent="0.3">
      <c r="A15" s="2" t="s">
        <v>49</v>
      </c>
      <c r="B15" s="1">
        <f>'Data Sheet'!B90</f>
        <v>609.15</v>
      </c>
      <c r="C15" s="1">
        <f>'Data Sheet'!C90</f>
        <v>511.13</v>
      </c>
      <c r="D15" s="1">
        <f>'Data Sheet'!D90</f>
        <v>565.9</v>
      </c>
      <c r="E15" s="1">
        <f>'Data Sheet'!E90</f>
        <v>743.85</v>
      </c>
      <c r="F15" s="1">
        <f>'Data Sheet'!F90</f>
        <v>641.5</v>
      </c>
      <c r="G15" s="1">
        <f>'Data Sheet'!G90</f>
        <v>1368.05</v>
      </c>
      <c r="H15" s="1">
        <f>'Data Sheet'!H90</f>
        <v>1906.85</v>
      </c>
      <c r="I15" s="1">
        <f>'Data Sheet'!I90</f>
        <v>1427.95</v>
      </c>
      <c r="J15" s="1">
        <f>'Data Sheet'!J90</f>
        <v>1498.05</v>
      </c>
      <c r="K15" s="1">
        <f>'Data Sheet'!K90</f>
        <v>1570.65</v>
      </c>
      <c r="L15" s="1">
        <f>'Data Sheet'!B8</f>
        <v>1308.4000000000001</v>
      </c>
      <c r="M15" s="8">
        <f>M13*M14</f>
        <v>1538.1744245914181</v>
      </c>
      <c r="N15" s="9">
        <f>N13*N14</f>
        <v>1211.6499633292474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0.41132774853584397</v>
      </c>
      <c r="C18" s="5">
        <f>IF('Data Sheet'!C30&gt;0, 'Data Sheet'!C31/'Data Sheet'!C30, 0)</f>
        <v>0.4104786455793214</v>
      </c>
      <c r="D18" s="5">
        <f>IF('Data Sheet'!D30&gt;0, 'Data Sheet'!D31/'Data Sheet'!D30, 0)</f>
        <v>0.5905296649822197</v>
      </c>
      <c r="E18" s="5">
        <f>IF('Data Sheet'!E30&gt;0, 'Data Sheet'!E31/'Data Sheet'!E30, 0)</f>
        <v>0.5987081277590236</v>
      </c>
      <c r="F18" s="5">
        <f>IF('Data Sheet'!F30&gt;0, 'Data Sheet'!F31/'Data Sheet'!F30, 0)</f>
        <v>0.44757141135350126</v>
      </c>
      <c r="G18" s="5">
        <f>IF('Data Sheet'!G30&gt;0, 'Data Sheet'!G31/'Data Sheet'!G30, 0)</f>
        <v>0.59271355485504629</v>
      </c>
      <c r="H18" s="5">
        <f>IF('Data Sheet'!H30&gt;0, 'Data Sheet'!H31/'Data Sheet'!H30, 0)</f>
        <v>0.58831298055178649</v>
      </c>
      <c r="I18" s="5">
        <f>IF('Data Sheet'!I30&gt;0, 'Data Sheet'!I31/'Data Sheet'!I30, 0)</f>
        <v>0.58390537455903713</v>
      </c>
      <c r="J18" s="5">
        <f>IF('Data Sheet'!J30&gt;0, 'Data Sheet'!J31/'Data Sheet'!J30, 0)</f>
        <v>0.72630656043914155</v>
      </c>
      <c r="K18" s="5">
        <f>IF('Data Sheet'!K30&gt;0, 'Data Sheet'!K31/'Data Sheet'!K30, 0)</f>
        <v>0.66738292217272488</v>
      </c>
    </row>
    <row r="19" spans="1:14" x14ac:dyDescent="0.3">
      <c r="A19" t="s">
        <v>18</v>
      </c>
      <c r="B19" s="5">
        <f t="shared" ref="B19:L19" si="4">IF(B6&gt;0,B6/B4,0)</f>
        <v>0.27352220496148366</v>
      </c>
      <c r="C19" s="5">
        <f t="shared" ref="C19:K19" si="5">IF(C6&gt;0,C6/C4,0)</f>
        <v>0.27165469306699375</v>
      </c>
      <c r="D19" s="5">
        <f t="shared" si="5"/>
        <v>0.26689543688494372</v>
      </c>
      <c r="E19" s="5">
        <f t="shared" si="5"/>
        <v>0.24396734200181433</v>
      </c>
      <c r="F19" s="5">
        <f t="shared" si="5"/>
        <v>0.24525558700752279</v>
      </c>
      <c r="G19" s="5">
        <f t="shared" si="5"/>
        <v>0.27757982323433394</v>
      </c>
      <c r="H19" s="5">
        <f t="shared" si="5"/>
        <v>0.25888475102966929</v>
      </c>
      <c r="I19" s="5">
        <f t="shared" si="5"/>
        <v>0.23935898396778568</v>
      </c>
      <c r="J19" s="5">
        <f t="shared" si="5"/>
        <v>0.23703390381987374</v>
      </c>
      <c r="K19" s="5">
        <f t="shared" si="5"/>
        <v>0.24072642493404503</v>
      </c>
      <c r="L19" s="5">
        <f t="shared" si="4"/>
        <v>0.23667661817950836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0.11249741935076951</v>
      </c>
      <c r="I23" s="5">
        <f>IF(D4=0,"",POWER($K4/D4,1/7)-1)</f>
        <v>0.12713677553728409</v>
      </c>
      <c r="J23" s="5">
        <f>IF(F4=0,"",POWER($K4/F4,1/5)-1)</f>
        <v>0.12414836208210134</v>
      </c>
      <c r="K23" s="5">
        <f>IF(H4=0,"",POWER($K4/H4, 1/3)-1)</f>
        <v>0.10245361529469932</v>
      </c>
      <c r="L23" s="5">
        <f>IF(ISERROR(MAX(IF(J4=0,"",(K4-J4)/J4),IF(K4=0,"",(L4-K4)/K4))),"",MAX(IF(J4=0,"",(K4-J4)/J4),IF(K4=0,"",(L4-K4)/K4)))</f>
        <v>6.2476225535308912E-2</v>
      </c>
      <c r="M23" s="16">
        <f>MAX(K23:L23)</f>
        <v>0.10245361529469932</v>
      </c>
      <c r="N23" s="16">
        <f>MIN(H23:L23)</f>
        <v>6.2476225535308912E-2</v>
      </c>
    </row>
    <row r="24" spans="1:14" x14ac:dyDescent="0.3">
      <c r="G24" t="s">
        <v>18</v>
      </c>
      <c r="H24" s="5">
        <f>IF(SUM(B4:$K$4)=0,"",SUMPRODUCT(B19:$K$19,B4:$K$4)/SUM(B4:$K$4))</f>
        <v>0.25188575071219566</v>
      </c>
      <c r="I24" s="5">
        <f>IF(SUM(E4:$K$4)=0,"",SUMPRODUCT(E19:$K$19,E4:$K$4)/SUM(E4:$K$4))</f>
        <v>0.2475046740069336</v>
      </c>
      <c r="J24" s="5">
        <f>IF(SUM(G4:$K$4)=0,"",SUMPRODUCT(G19:$K$19,G4:$K$4)/SUM(G4:$K$4))</f>
        <v>0.24822913323803134</v>
      </c>
      <c r="K24" s="5">
        <f>IF(SUM(I4:$K$4)=0, "", SUMPRODUCT(I19:$K$19,I4:$K$4)/SUM(I4:$K$4))</f>
        <v>0.23906893642364385</v>
      </c>
      <c r="L24" s="5">
        <f>L19</f>
        <v>0.23667661817950836</v>
      </c>
      <c r="M24" s="16">
        <f>MAX(K24:L24)</f>
        <v>0.23906893642364385</v>
      </c>
      <c r="N24" s="16">
        <f>MIN(H24:L24)</f>
        <v>0.23667661817950836</v>
      </c>
    </row>
    <row r="25" spans="1:14" x14ac:dyDescent="0.3">
      <c r="G25" t="s">
        <v>23</v>
      </c>
      <c r="H25" s="6">
        <f>IF(ISERROR(AVERAGEIF(B14:$L14,"&gt;0")),"",AVERAGEIF(B14:$L14,"&gt;0"))</f>
        <v>22.560913971599415</v>
      </c>
      <c r="I25" s="6">
        <f>IF(ISERROR(AVERAGEIF(E14:$L14,"&gt;0")),"",AVERAGEIF(E14:$L14,"&gt;0"))</f>
        <v>24.455389926506882</v>
      </c>
      <c r="J25" s="6">
        <f>IF(ISERROR(AVERAGEIF(G14:$L14,"&gt;0")),"",AVERAGEIF(G14:$L14,"&gt;0"))</f>
        <v>26.346880686222182</v>
      </c>
      <c r="K25" s="6">
        <f>IF(ISERROR(AVERAGEIF(I14:$L14,"&gt;0")),"",AVERAGEIF(I14:$L14,"&gt;0"))</f>
        <v>22.919852576454655</v>
      </c>
      <c r="L25" s="6">
        <f>L14</f>
        <v>18.969232446732448</v>
      </c>
      <c r="M25" s="1">
        <f>MAX(K25:L25)</f>
        <v>22.919852576454655</v>
      </c>
      <c r="N25" s="1">
        <f>MIN(H25:L25)</f>
        <v>18.969232446732448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38994</v>
      </c>
      <c r="C4" s="1">
        <f>'Data Sheet'!C42</f>
        <v>38821</v>
      </c>
      <c r="D4" s="1">
        <f>'Data Sheet'!D42</f>
        <v>37923</v>
      </c>
      <c r="E4" s="1">
        <f>'Data Sheet'!E42</f>
        <v>39315</v>
      </c>
      <c r="F4" s="1">
        <f>'Data Sheet'!F42</f>
        <v>40986</v>
      </c>
      <c r="G4" s="1">
        <f>'Data Sheet'!G42</f>
        <v>41764</v>
      </c>
      <c r="H4" s="1">
        <f>'Data Sheet'!H42</f>
        <v>40925</v>
      </c>
      <c r="I4" s="1">
        <f>'Data Sheet'!I42</f>
        <v>42279</v>
      </c>
      <c r="J4" s="1">
        <f>'Data Sheet'!J42</f>
        <v>44490</v>
      </c>
      <c r="K4" s="1">
        <f>'Data Sheet'!K42</f>
        <v>45479</v>
      </c>
    </row>
    <row r="5" spans="1:11" x14ac:dyDescent="0.3">
      <c r="A5" t="s">
        <v>7</v>
      </c>
      <c r="B5" s="6">
        <f>'Data Sheet'!B43</f>
        <v>29554</v>
      </c>
      <c r="C5" s="6">
        <f>'Data Sheet'!C43</f>
        <v>29684</v>
      </c>
      <c r="D5" s="6">
        <f>'Data Sheet'!D43</f>
        <v>29139</v>
      </c>
      <c r="E5" s="6">
        <f>'Data Sheet'!E43</f>
        <v>29878</v>
      </c>
      <c r="F5" s="6">
        <f>'Data Sheet'!F43</f>
        <v>31177</v>
      </c>
      <c r="G5" s="6">
        <f>'Data Sheet'!G43</f>
        <v>31649</v>
      </c>
      <c r="H5" s="6">
        <f>'Data Sheet'!H43</f>
        <v>31051</v>
      </c>
      <c r="I5" s="6">
        <f>'Data Sheet'!I43</f>
        <v>32336</v>
      </c>
      <c r="J5" s="6">
        <f>'Data Sheet'!J43</f>
        <v>33955</v>
      </c>
      <c r="K5" s="6">
        <f>'Data Sheet'!K43</f>
        <v>34845</v>
      </c>
    </row>
    <row r="6" spans="1:11" s="2" customFormat="1" x14ac:dyDescent="0.3">
      <c r="A6" s="2" t="s">
        <v>8</v>
      </c>
      <c r="B6" s="1">
        <f>'Data Sheet'!B50</f>
        <v>9440</v>
      </c>
      <c r="C6" s="1">
        <f>'Data Sheet'!C50</f>
        <v>9137</v>
      </c>
      <c r="D6" s="1">
        <f>'Data Sheet'!D50</f>
        <v>8784</v>
      </c>
      <c r="E6" s="1">
        <f>'Data Sheet'!E50</f>
        <v>9437</v>
      </c>
      <c r="F6" s="1">
        <f>'Data Sheet'!F50</f>
        <v>9809</v>
      </c>
      <c r="G6" s="1">
        <f>'Data Sheet'!G50</f>
        <v>10115</v>
      </c>
      <c r="H6" s="1">
        <f>'Data Sheet'!H50</f>
        <v>9874</v>
      </c>
      <c r="I6" s="1">
        <f>'Data Sheet'!I50</f>
        <v>9943</v>
      </c>
      <c r="J6" s="1">
        <f>'Data Sheet'!J50</f>
        <v>10535</v>
      </c>
      <c r="K6" s="1">
        <f>'Data Sheet'!K50</f>
        <v>10634</v>
      </c>
    </row>
    <row r="7" spans="1:11" x14ac:dyDescent="0.3">
      <c r="A7" t="s">
        <v>9</v>
      </c>
      <c r="B7" s="6">
        <f>'Data Sheet'!B44</f>
        <v>632</v>
      </c>
      <c r="C7" s="6">
        <f>'Data Sheet'!C44</f>
        <v>789</v>
      </c>
      <c r="D7" s="6">
        <f>'Data Sheet'!D44</f>
        <v>2729</v>
      </c>
      <c r="E7" s="6">
        <f>'Data Sheet'!E44</f>
        <v>838</v>
      </c>
      <c r="F7" s="6">
        <f>'Data Sheet'!F44</f>
        <v>712</v>
      </c>
      <c r="G7" s="6">
        <f>'Data Sheet'!G44</f>
        <v>859</v>
      </c>
      <c r="H7" s="6">
        <f>'Data Sheet'!H44</f>
        <v>1190</v>
      </c>
      <c r="I7" s="6">
        <f>'Data Sheet'!I44</f>
        <v>1042</v>
      </c>
      <c r="J7" s="6">
        <f>'Data Sheet'!J44</f>
        <v>982</v>
      </c>
      <c r="K7" s="6">
        <f>'Data Sheet'!K44</f>
        <v>-150</v>
      </c>
    </row>
    <row r="8" spans="1:11" x14ac:dyDescent="0.3">
      <c r="A8" t="s">
        <v>10</v>
      </c>
      <c r="B8" s="6">
        <f>'Data Sheet'!B45</f>
        <v>1166</v>
      </c>
      <c r="C8" s="6">
        <f>'Data Sheet'!C45</f>
        <v>1176</v>
      </c>
      <c r="D8" s="6">
        <f>'Data Sheet'!D45</f>
        <v>1163</v>
      </c>
      <c r="E8" s="6">
        <f>'Data Sheet'!E45</f>
        <v>1149</v>
      </c>
      <c r="F8" s="6">
        <f>'Data Sheet'!F45</f>
        <v>1160</v>
      </c>
      <c r="G8" s="6">
        <f>'Data Sheet'!G45</f>
        <v>1203</v>
      </c>
      <c r="H8" s="6">
        <f>'Data Sheet'!H45</f>
        <v>1299</v>
      </c>
      <c r="I8" s="6">
        <f>'Data Sheet'!I45</f>
        <v>1140</v>
      </c>
      <c r="J8" s="6">
        <f>'Data Sheet'!J45</f>
        <v>1182</v>
      </c>
      <c r="K8" s="6">
        <f>'Data Sheet'!K45</f>
        <v>1155</v>
      </c>
    </row>
    <row r="9" spans="1:11" x14ac:dyDescent="0.3">
      <c r="A9" t="s">
        <v>11</v>
      </c>
      <c r="B9" s="6">
        <f>'Data Sheet'!B46</f>
        <v>138</v>
      </c>
      <c r="C9" s="6">
        <f>'Data Sheet'!C46</f>
        <v>131</v>
      </c>
      <c r="D9" s="6">
        <f>'Data Sheet'!D46</f>
        <v>110</v>
      </c>
      <c r="E9" s="6">
        <f>'Data Sheet'!E46</f>
        <v>105</v>
      </c>
      <c r="F9" s="6">
        <f>'Data Sheet'!F46</f>
        <v>108</v>
      </c>
      <c r="G9" s="6">
        <f>'Data Sheet'!G46</f>
        <v>101</v>
      </c>
      <c r="H9" s="6">
        <f>'Data Sheet'!H46</f>
        <v>102</v>
      </c>
      <c r="I9" s="6">
        <f>'Data Sheet'!I46</f>
        <v>105</v>
      </c>
      <c r="J9" s="6">
        <f>'Data Sheet'!J46</f>
        <v>106</v>
      </c>
      <c r="K9" s="6">
        <f>'Data Sheet'!K46</f>
        <v>100</v>
      </c>
    </row>
    <row r="10" spans="1:11" x14ac:dyDescent="0.3">
      <c r="A10" t="s">
        <v>12</v>
      </c>
      <c r="B10" s="6">
        <f>'Data Sheet'!B47</f>
        <v>8768</v>
      </c>
      <c r="C10" s="6">
        <f>'Data Sheet'!C47</f>
        <v>8619</v>
      </c>
      <c r="D10" s="6">
        <f>'Data Sheet'!D47</f>
        <v>10240</v>
      </c>
      <c r="E10" s="6">
        <f>'Data Sheet'!E47</f>
        <v>9021</v>
      </c>
      <c r="F10" s="6">
        <f>'Data Sheet'!F47</f>
        <v>9253</v>
      </c>
      <c r="G10" s="6">
        <f>'Data Sheet'!G47</f>
        <v>9670</v>
      </c>
      <c r="H10" s="6">
        <f>'Data Sheet'!H47</f>
        <v>9663</v>
      </c>
      <c r="I10" s="6">
        <f>'Data Sheet'!I47</f>
        <v>9740</v>
      </c>
      <c r="J10" s="6">
        <f>'Data Sheet'!J47</f>
        <v>10229</v>
      </c>
      <c r="K10" s="6">
        <f>'Data Sheet'!K47</f>
        <v>9229</v>
      </c>
    </row>
    <row r="11" spans="1:11" x14ac:dyDescent="0.3">
      <c r="A11" t="s">
        <v>13</v>
      </c>
      <c r="B11" s="6">
        <f>'Data Sheet'!B48</f>
        <v>2553</v>
      </c>
      <c r="C11" s="6">
        <f>'Data Sheet'!C48</f>
        <v>2506</v>
      </c>
      <c r="D11" s="6">
        <f>'Data Sheet'!D48</f>
        <v>2265</v>
      </c>
      <c r="E11" s="6">
        <f>'Data Sheet'!E48</f>
        <v>2647</v>
      </c>
      <c r="F11" s="6">
        <f>'Data Sheet'!F48</f>
        <v>2737</v>
      </c>
      <c r="G11" s="6">
        <f>'Data Sheet'!G48</f>
        <v>2848</v>
      </c>
      <c r="H11" s="6">
        <f>'Data Sheet'!H48</f>
        <v>2625</v>
      </c>
      <c r="I11" s="6">
        <f>'Data Sheet'!I48</f>
        <v>2816</v>
      </c>
      <c r="J11" s="6">
        <f>'Data Sheet'!J48</f>
        <v>2854</v>
      </c>
      <c r="K11" s="6">
        <f>'Data Sheet'!K48</f>
        <v>2563</v>
      </c>
    </row>
    <row r="12" spans="1:11" s="2" customFormat="1" x14ac:dyDescent="0.3">
      <c r="A12" s="2" t="s">
        <v>14</v>
      </c>
      <c r="B12" s="1">
        <f>'Data Sheet'!B49</f>
        <v>6212</v>
      </c>
      <c r="C12" s="1">
        <f>'Data Sheet'!C49</f>
        <v>6106</v>
      </c>
      <c r="D12" s="1">
        <f>'Data Sheet'!D49</f>
        <v>7969</v>
      </c>
      <c r="E12" s="1">
        <f>'Data Sheet'!E49</f>
        <v>6368</v>
      </c>
      <c r="F12" s="1">
        <f>'Data Sheet'!F49</f>
        <v>6506</v>
      </c>
      <c r="G12" s="1">
        <f>'Data Sheet'!G49</f>
        <v>6806</v>
      </c>
      <c r="H12" s="1">
        <f>'Data Sheet'!H49</f>
        <v>7033</v>
      </c>
      <c r="I12" s="1">
        <f>'Data Sheet'!I49</f>
        <v>6921</v>
      </c>
      <c r="J12" s="1">
        <f>'Data Sheet'!J49</f>
        <v>7364</v>
      </c>
      <c r="K12" s="1">
        <f>'Data Sheet'!K49</f>
        <v>6654</v>
      </c>
    </row>
    <row r="14" spans="1:11" s="2" customFormat="1" x14ac:dyDescent="0.3">
      <c r="A14" s="2" t="s">
        <v>18</v>
      </c>
      <c r="B14" s="10">
        <f>IF(B4&gt;0,B6/B4,"")</f>
        <v>0.24208852643996512</v>
      </c>
      <c r="C14" s="10">
        <f t="shared" ref="C14:K14" si="0">IF(C4&gt;0,C6/C4,"")</f>
        <v>0.23536230390767884</v>
      </c>
      <c r="D14" s="10">
        <f t="shared" si="0"/>
        <v>0.2316272446800095</v>
      </c>
      <c r="E14" s="10">
        <f t="shared" si="0"/>
        <v>0.24003560981813557</v>
      </c>
      <c r="F14" s="10">
        <f t="shared" si="0"/>
        <v>0.23932562338359439</v>
      </c>
      <c r="G14" s="10">
        <f t="shared" si="0"/>
        <v>0.2421942342687482</v>
      </c>
      <c r="H14" s="10">
        <f t="shared" si="0"/>
        <v>0.24127061698228466</v>
      </c>
      <c r="I14" s="10">
        <f t="shared" si="0"/>
        <v>0.23517585562572435</v>
      </c>
      <c r="J14" s="10">
        <f t="shared" si="0"/>
        <v>0.23679478534502135</v>
      </c>
      <c r="K14" s="10">
        <f t="shared" si="0"/>
        <v>0.2338222036544339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1144</v>
      </c>
      <c r="C4" s="14">
        <f>'Data Sheet'!C57</f>
        <v>1144</v>
      </c>
      <c r="D4" s="14">
        <f>'Data Sheet'!D57</f>
        <v>1088</v>
      </c>
      <c r="E4" s="14">
        <f>'Data Sheet'!E57</f>
        <v>2170</v>
      </c>
      <c r="F4" s="14">
        <f>'Data Sheet'!F57</f>
        <v>2122</v>
      </c>
      <c r="G4" s="14">
        <f>'Data Sheet'!G57</f>
        <v>2124</v>
      </c>
      <c r="H4" s="14">
        <f>'Data Sheet'!H57</f>
        <v>2098</v>
      </c>
      <c r="I4" s="14">
        <f>'Data Sheet'!I57</f>
        <v>2069</v>
      </c>
      <c r="J4" s="14">
        <f>'Data Sheet'!J57</f>
        <v>2071</v>
      </c>
      <c r="K4" s="14">
        <f>'Data Sheet'!K57</f>
        <v>2073</v>
      </c>
    </row>
    <row r="5" spans="1:11" x14ac:dyDescent="0.3">
      <c r="A5" t="s">
        <v>25</v>
      </c>
      <c r="B5" s="14">
        <f>'Data Sheet'!B58</f>
        <v>60600</v>
      </c>
      <c r="C5" s="14">
        <f>'Data Sheet'!C58</f>
        <v>67838</v>
      </c>
      <c r="D5" s="14">
        <f>'Data Sheet'!D58</f>
        <v>63835</v>
      </c>
      <c r="E5" s="14">
        <f>'Data Sheet'!E58</f>
        <v>62778</v>
      </c>
      <c r="F5" s="14">
        <f>'Data Sheet'!F58</f>
        <v>63328</v>
      </c>
      <c r="G5" s="14">
        <f>'Data Sheet'!G58</f>
        <v>74227</v>
      </c>
      <c r="H5" s="14">
        <f>'Data Sheet'!H58</f>
        <v>73252</v>
      </c>
      <c r="I5" s="14">
        <f>'Data Sheet'!I58</f>
        <v>73338</v>
      </c>
      <c r="J5" s="14">
        <f>'Data Sheet'!J58</f>
        <v>86045</v>
      </c>
      <c r="K5" s="14">
        <f>'Data Sheet'!K58</f>
        <v>93745</v>
      </c>
    </row>
    <row r="6" spans="1:11" x14ac:dyDescent="0.3">
      <c r="A6" t="s">
        <v>62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4633</v>
      </c>
      <c r="G6" s="14">
        <f>'Data Sheet'!G59</f>
        <v>5325</v>
      </c>
      <c r="H6" s="14">
        <f>'Data Sheet'!H59</f>
        <v>5474</v>
      </c>
      <c r="I6" s="14">
        <f>'Data Sheet'!I59</f>
        <v>8299</v>
      </c>
      <c r="J6" s="14">
        <f>'Data Sheet'!J59</f>
        <v>8359</v>
      </c>
      <c r="K6" s="14">
        <f>'Data Sheet'!K59</f>
        <v>8227</v>
      </c>
    </row>
    <row r="7" spans="1:11" x14ac:dyDescent="0.3">
      <c r="A7" t="s">
        <v>63</v>
      </c>
      <c r="B7" s="14">
        <f>'Data Sheet'!B60</f>
        <v>13354</v>
      </c>
      <c r="C7" s="14">
        <f>'Data Sheet'!C60</f>
        <v>14166</v>
      </c>
      <c r="D7" s="14">
        <f>'Data Sheet'!D60</f>
        <v>14426</v>
      </c>
      <c r="E7" s="14">
        <f>'Data Sheet'!E60</f>
        <v>19118</v>
      </c>
      <c r="F7" s="14">
        <f>'Data Sheet'!F60</f>
        <v>21717</v>
      </c>
      <c r="G7" s="14">
        <f>'Data Sheet'!G60</f>
        <v>25835</v>
      </c>
      <c r="H7" s="14">
        <f>'Data Sheet'!H60</f>
        <v>35905</v>
      </c>
      <c r="I7" s="14">
        <f>'Data Sheet'!I60</f>
        <v>40890</v>
      </c>
      <c r="J7" s="14">
        <f>'Data Sheet'!J60</f>
        <v>40885</v>
      </c>
      <c r="K7" s="14">
        <f>'Data Sheet'!K60</f>
        <v>43750</v>
      </c>
    </row>
    <row r="8" spans="1:11" s="2" customFormat="1" x14ac:dyDescent="0.3">
      <c r="A8" s="2" t="s">
        <v>26</v>
      </c>
      <c r="B8" s="15">
        <f>'Data Sheet'!B61</f>
        <v>75098</v>
      </c>
      <c r="C8" s="15">
        <f>'Data Sheet'!C61</f>
        <v>83148</v>
      </c>
      <c r="D8" s="15">
        <f>'Data Sheet'!D61</f>
        <v>79349</v>
      </c>
      <c r="E8" s="15">
        <f>'Data Sheet'!E61</f>
        <v>84066</v>
      </c>
      <c r="F8" s="15">
        <f>'Data Sheet'!F61</f>
        <v>91800</v>
      </c>
      <c r="G8" s="15">
        <f>'Data Sheet'!G61</f>
        <v>107511</v>
      </c>
      <c r="H8" s="15">
        <f>'Data Sheet'!H61</f>
        <v>116729</v>
      </c>
      <c r="I8" s="15">
        <f>'Data Sheet'!I61</f>
        <v>124596</v>
      </c>
      <c r="J8" s="15">
        <f>'Data Sheet'!J61</f>
        <v>137360</v>
      </c>
      <c r="K8" s="15">
        <f>'Data Sheet'!K61</f>
        <v>147795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13386</v>
      </c>
      <c r="C10" s="14">
        <f>'Data Sheet'!C62</f>
        <v>14179</v>
      </c>
      <c r="D10" s="14">
        <f>'Data Sheet'!D62</f>
        <v>12574</v>
      </c>
      <c r="E10" s="14">
        <f>'Data Sheet'!E62</f>
        <v>15710</v>
      </c>
      <c r="F10" s="14">
        <f>'Data Sheet'!F62</f>
        <v>23789</v>
      </c>
      <c r="G10" s="14">
        <f>'Data Sheet'!G62</f>
        <v>25505</v>
      </c>
      <c r="H10" s="14">
        <f>'Data Sheet'!H62</f>
        <v>25800</v>
      </c>
      <c r="I10" s="14">
        <f>'Data Sheet'!I62</f>
        <v>29225</v>
      </c>
      <c r="J10" s="14">
        <f>'Data Sheet'!J62</f>
        <v>27622</v>
      </c>
      <c r="K10" s="14">
        <f>'Data Sheet'!K62</f>
        <v>30961</v>
      </c>
    </row>
    <row r="11" spans="1:11" x14ac:dyDescent="0.3">
      <c r="A11" t="s">
        <v>28</v>
      </c>
      <c r="B11" s="14">
        <f>'Data Sheet'!B63</f>
        <v>960</v>
      </c>
      <c r="C11" s="14">
        <f>'Data Sheet'!C63</f>
        <v>1365</v>
      </c>
      <c r="D11" s="14">
        <f>'Data Sheet'!D63</f>
        <v>1606</v>
      </c>
      <c r="E11" s="14">
        <f>'Data Sheet'!E63</f>
        <v>1388</v>
      </c>
      <c r="F11" s="14">
        <f>'Data Sheet'!F63</f>
        <v>954</v>
      </c>
      <c r="G11" s="14">
        <f>'Data Sheet'!G63</f>
        <v>922</v>
      </c>
      <c r="H11" s="14">
        <f>'Data Sheet'!H63</f>
        <v>416</v>
      </c>
      <c r="I11" s="14">
        <f>'Data Sheet'!I63</f>
        <v>288</v>
      </c>
      <c r="J11" s="14">
        <f>'Data Sheet'!J63</f>
        <v>293</v>
      </c>
      <c r="K11" s="14">
        <f>'Data Sheet'!K63</f>
        <v>814</v>
      </c>
    </row>
    <row r="12" spans="1:11" x14ac:dyDescent="0.3">
      <c r="A12" t="s">
        <v>29</v>
      </c>
      <c r="B12" s="14">
        <f>'Data Sheet'!B64</f>
        <v>1892</v>
      </c>
      <c r="C12" s="14">
        <f>'Data Sheet'!C64</f>
        <v>16423</v>
      </c>
      <c r="D12" s="14">
        <f>'Data Sheet'!D64</f>
        <v>12163</v>
      </c>
      <c r="E12" s="14">
        <f>'Data Sheet'!E64</f>
        <v>11261</v>
      </c>
      <c r="F12" s="14">
        <f>'Data Sheet'!F64</f>
        <v>8792</v>
      </c>
      <c r="G12" s="14">
        <f>'Data Sheet'!G64</f>
        <v>14205</v>
      </c>
      <c r="H12" s="14">
        <f>'Data Sheet'!H64</f>
        <v>20324</v>
      </c>
      <c r="I12" s="14">
        <f>'Data Sheet'!I64</f>
        <v>19478</v>
      </c>
      <c r="J12" s="14">
        <f>'Data Sheet'!J64</f>
        <v>24623</v>
      </c>
      <c r="K12" s="14">
        <f>'Data Sheet'!K64</f>
        <v>23541</v>
      </c>
    </row>
    <row r="13" spans="1:11" x14ac:dyDescent="0.3">
      <c r="A13" t="s">
        <v>64</v>
      </c>
      <c r="B13" s="14">
        <f>'Data Sheet'!B65</f>
        <v>58860</v>
      </c>
      <c r="C13" s="14">
        <f>'Data Sheet'!C65</f>
        <v>51181</v>
      </c>
      <c r="D13" s="14">
        <f>'Data Sheet'!D65</f>
        <v>53006</v>
      </c>
      <c r="E13" s="14">
        <f>'Data Sheet'!E65</f>
        <v>55707</v>
      </c>
      <c r="F13" s="14">
        <f>'Data Sheet'!F65</f>
        <v>58265</v>
      </c>
      <c r="G13" s="14">
        <f>'Data Sheet'!G65</f>
        <v>66879</v>
      </c>
      <c r="H13" s="14">
        <f>'Data Sheet'!H65</f>
        <v>70189</v>
      </c>
      <c r="I13" s="14">
        <f>'Data Sheet'!I65</f>
        <v>75605</v>
      </c>
      <c r="J13" s="14">
        <f>'Data Sheet'!J65</f>
        <v>84822</v>
      </c>
      <c r="K13" s="14">
        <f>'Data Sheet'!K65</f>
        <v>92479</v>
      </c>
    </row>
    <row r="14" spans="1:11" s="2" customFormat="1" x14ac:dyDescent="0.3">
      <c r="A14" s="2" t="s">
        <v>26</v>
      </c>
      <c r="B14" s="14">
        <f>'Data Sheet'!B66</f>
        <v>75098</v>
      </c>
      <c r="C14" s="14">
        <f>'Data Sheet'!C66</f>
        <v>83148</v>
      </c>
      <c r="D14" s="14">
        <f>'Data Sheet'!D66</f>
        <v>79349</v>
      </c>
      <c r="E14" s="14">
        <f>'Data Sheet'!E66</f>
        <v>84066</v>
      </c>
      <c r="F14" s="14">
        <f>'Data Sheet'!F66</f>
        <v>91800</v>
      </c>
      <c r="G14" s="14">
        <f>'Data Sheet'!G66</f>
        <v>107511</v>
      </c>
      <c r="H14" s="14">
        <f>'Data Sheet'!H66</f>
        <v>116729</v>
      </c>
      <c r="I14" s="14">
        <f>'Data Sheet'!I66</f>
        <v>124596</v>
      </c>
      <c r="J14" s="14">
        <f>'Data Sheet'!J66</f>
        <v>137360</v>
      </c>
      <c r="K14" s="14">
        <f>'Data Sheet'!K66</f>
        <v>147795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45506</v>
      </c>
      <c r="C16" s="4">
        <f t="shared" ref="C16:K16" si="0">C13-C7</f>
        <v>37015</v>
      </c>
      <c r="D16" s="4">
        <f t="shared" si="0"/>
        <v>38580</v>
      </c>
      <c r="E16" s="4">
        <f t="shared" si="0"/>
        <v>36589</v>
      </c>
      <c r="F16" s="4">
        <f t="shared" si="0"/>
        <v>36548</v>
      </c>
      <c r="G16" s="4">
        <f t="shared" si="0"/>
        <v>41044</v>
      </c>
      <c r="H16" s="4">
        <f t="shared" si="0"/>
        <v>34284</v>
      </c>
      <c r="I16" s="4">
        <f t="shared" si="0"/>
        <v>34715</v>
      </c>
      <c r="J16" s="4">
        <f t="shared" si="0"/>
        <v>43937</v>
      </c>
      <c r="K16" s="4">
        <f t="shared" si="0"/>
        <v>48729</v>
      </c>
    </row>
    <row r="17" spans="1:11" x14ac:dyDescent="0.3">
      <c r="A17" t="s">
        <v>44</v>
      </c>
      <c r="B17" s="4">
        <f>'Data Sheet'!B67</f>
        <v>11330</v>
      </c>
      <c r="C17" s="4">
        <f>'Data Sheet'!C67</f>
        <v>12322</v>
      </c>
      <c r="D17" s="4">
        <f>'Data Sheet'!D67</f>
        <v>13142</v>
      </c>
      <c r="E17" s="4">
        <f>'Data Sheet'!E67</f>
        <v>14827</v>
      </c>
      <c r="F17" s="4">
        <f>'Data Sheet'!F67</f>
        <v>18487</v>
      </c>
      <c r="G17" s="4">
        <f>'Data Sheet'!G67</f>
        <v>19294</v>
      </c>
      <c r="H17" s="4">
        <f>'Data Sheet'!H67</f>
        <v>22698</v>
      </c>
      <c r="I17" s="4">
        <f>'Data Sheet'!I67</f>
        <v>25424</v>
      </c>
      <c r="J17" s="4">
        <f>'Data Sheet'!J67</f>
        <v>30193</v>
      </c>
      <c r="K17" s="4">
        <f>'Data Sheet'!K67</f>
        <v>31158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">
      <c r="A20" t="s">
        <v>46</v>
      </c>
      <c r="B20" s="4">
        <f>IF('Profit &amp; Loss'!B4&gt;0,'Balance Sheet'!B17/('Profit &amp; Loss'!B4/365),0)</f>
        <v>66.229720856488527</v>
      </c>
      <c r="C20" s="4">
        <f>IF('Profit &amp; Loss'!C4&gt;0,'Balance Sheet'!C17/('Profit &amp; Loss'!C4/365),0)</f>
        <v>65.672711874306415</v>
      </c>
      <c r="D20" s="4">
        <f>IF('Profit &amp; Loss'!D4&gt;0,'Balance Sheet'!D17/('Profit &amp; Loss'!D4/365),0)</f>
        <v>68.018916082924477</v>
      </c>
      <c r="E20" s="4">
        <f>IF('Profit &amp; Loss'!E4&gt;0,'Balance Sheet'!E17/('Profit &amp; Loss'!E4/365),0)</f>
        <v>65.459389174478375</v>
      </c>
      <c r="F20" s="4">
        <f>IF('Profit &amp; Loss'!F4&gt;0,'Balance Sheet'!F17/('Profit &amp; Loss'!F4/365),0)</f>
        <v>74.321849081957467</v>
      </c>
      <c r="G20" s="4">
        <f>IF('Profit &amp; Loss'!G4&gt;0,'Balance Sheet'!G17/('Profit &amp; Loss'!G4/365),0)</f>
        <v>70.092264511505689</v>
      </c>
      <c r="H20" s="4">
        <f>IF('Profit &amp; Loss'!H4&gt;0,'Balance Sheet'!H17/('Profit &amp; Loss'!H4/365),0)</f>
        <v>68.108368066688044</v>
      </c>
      <c r="I20" s="4">
        <f>IF('Profit &amp; Loss'!I4&gt;0,'Balance Sheet'!I17/('Profit &amp; Loss'!I4/365),0)</f>
        <v>63.227837320378562</v>
      </c>
      <c r="J20" s="4">
        <f>IF('Profit &amp; Loss'!J4&gt;0,'Balance Sheet'!J17/('Profit &amp; Loss'!J4/365),0)</f>
        <v>71.715006182078469</v>
      </c>
      <c r="K20" s="4">
        <f>IF('Profit &amp; Loss'!K4&gt;0,'Balance Sheet'!K17/('Profit &amp; Loss'!K4/365),0)</f>
        <v>69.775262286029815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">
      <c r="A23" s="2" t="s">
        <v>50</v>
      </c>
      <c r="B23" s="10">
        <f>IF(SUM('Balance Sheet'!B4:B5)&gt;0,'Profit &amp; Loss'!B12/SUM('Balance Sheet'!B4:B5),"")</f>
        <v>0.2184665716506867</v>
      </c>
      <c r="C23" s="10">
        <f>IF(SUM('Balance Sheet'!C4:C5)&gt;0,'Profit &amp; Loss'!C12/SUM('Balance Sheet'!C4:C5),"")</f>
        <v>0.20806877156359629</v>
      </c>
      <c r="D23" s="10">
        <f>IF(SUM('Balance Sheet'!D4:D5)&gt;0,'Profit &amp; Loss'!D12/SUM('Balance Sheet'!D4:D5),"")</f>
        <v>0.24689247262141306</v>
      </c>
      <c r="E23" s="10">
        <f>IF(SUM('Balance Sheet'!E4:E5)&gt;0,'Profit &amp; Loss'!E12/SUM('Balance Sheet'!E4:E5),"")</f>
        <v>0.23717435486851018</v>
      </c>
      <c r="F23" s="10">
        <f>IF(SUM('Balance Sheet'!F4:F5)&gt;0,'Profit &amp; Loss'!F12/SUM('Balance Sheet'!F4:F5),"")</f>
        <v>0.25353705118411002</v>
      </c>
      <c r="G23" s="10">
        <f>IF(SUM('Balance Sheet'!G4:G5)&gt;0,'Profit &amp; Loss'!G12/SUM('Balance Sheet'!G4:G5),"")</f>
        <v>0.2534478919726002</v>
      </c>
      <c r="H23" s="10">
        <f>IF(SUM('Balance Sheet'!H4:H5)&gt;0,'Profit &amp; Loss'!H12/SUM('Balance Sheet'!H4:H5),"")</f>
        <v>0.29343065693430659</v>
      </c>
      <c r="I23" s="10">
        <f>IF(SUM('Balance Sheet'!I4:I5)&gt;0,'Profit &amp; Loss'!I12/SUM('Balance Sheet'!I4:I5),"")</f>
        <v>0.31953266938082669</v>
      </c>
      <c r="J23" s="10">
        <f>IF(SUM('Balance Sheet'!J4:J5)&gt;0,'Profit &amp; Loss'!J12/SUM('Balance Sheet'!J4:J5),"")</f>
        <v>0.29770983703300197</v>
      </c>
      <c r="K23" s="10">
        <f>IF(SUM('Balance Sheet'!K4:K5)&gt;0,'Profit &amp; Loss'!K12/SUM('Balance Sheet'!K4:K5),"")</f>
        <v>0.27878895405873633</v>
      </c>
    </row>
    <row r="24" spans="1:11" s="2" customFormat="1" x14ac:dyDescent="0.3">
      <c r="A24" s="2" t="s">
        <v>51</v>
      </c>
      <c r="B24" s="10"/>
      <c r="C24" s="10">
        <f>IF((B4+B5+B6+C4+C5+C6)&gt;0,('Profit &amp; Loss'!C10+'Profit &amp; Loss'!C9)*2/(B4+B5+B6+C4+C5+C6),"")</f>
        <v>0.30523384789559843</v>
      </c>
      <c r="D24" s="10">
        <f>IF((C4+C5+C6+D4+D5+D6)&gt;0,('Profit &amp; Loss'!D10+'Profit &amp; Loss'!D9)*2/(C4+C5+C6+D4+D5+D6),"")</f>
        <v>0.30275195101004443</v>
      </c>
      <c r="E24" s="10">
        <f>IF((D4+D5+D6+E4+E5+E6)&gt;0,('Profit &amp; Loss'!E10+'Profit &amp; Loss'!E9)*2/(D4+D5+D6+E4+E5+E6),"")</f>
        <v>0.3240292290041657</v>
      </c>
      <c r="F24" s="10">
        <f>IF((E4+E5+E6+F4+F5+F6)&gt;0,('Profit &amp; Loss'!F10+'Profit &amp; Loss'!F9)*2/(E4+E5+E6+F4+F5+F6),"")</f>
        <v>0.32847272107886338</v>
      </c>
      <c r="G24" s="10">
        <f>IF((F4+F5+F6+G4+G5+G6)&gt;0,('Profit &amp; Loss'!G10+'Profit &amp; Loss'!G9)*2/(F4+F5+F6+G4+G5+G6),"")</f>
        <v>0.3534946856529102</v>
      </c>
      <c r="H24" s="10">
        <f>IF((G4+G5+G6+H4+H5+H6)&gt;0,('Profit &amp; Loss'!H10+'Profit &amp; Loss'!H9)*2/(G4+G5+G6+H4+H5+H6),"")</f>
        <v>0.37304615384615386</v>
      </c>
      <c r="I24" s="10">
        <f>IF((H4+H5+H6+I4+I5+I6)&gt;0,('Profit &amp; Loss'!I10+'Profit &amp; Loss'!I9)*2/(H4+H5+H6+I4+I5+I6),"")</f>
        <v>0.40850908648878625</v>
      </c>
      <c r="J24" s="10">
        <f>IF((I4+I5+I6+J4+J5+J6)&gt;0,('Profit &amp; Loss'!J10+'Profit &amp; Loss'!J9)*2/(I4+I5+I6+J4+J5+J6),"")</f>
        <v>0.40468195869708795</v>
      </c>
      <c r="K24" s="10">
        <f>IF((J4+J5+J6+K4+K5+K6)&gt;0,('Profit &amp; Loss'!K10+'Profit &amp; Loss'!K9)*2/(J4+J5+J6+K4+K5+K6),"")</f>
        <v>0.37925393975663274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10028</v>
      </c>
      <c r="C4" s="1">
        <f>'Data Sheet'!C82</f>
        <v>11531</v>
      </c>
      <c r="D4" s="1">
        <f>'Data Sheet'!D82</f>
        <v>13218</v>
      </c>
      <c r="E4" s="1">
        <f>'Data Sheet'!E82</f>
        <v>14841</v>
      </c>
      <c r="F4" s="1">
        <f>'Data Sheet'!F82</f>
        <v>17003</v>
      </c>
      <c r="G4" s="1">
        <f>'Data Sheet'!G82</f>
        <v>23224</v>
      </c>
      <c r="H4" s="1">
        <f>'Data Sheet'!H82</f>
        <v>23885</v>
      </c>
      <c r="I4" s="1">
        <f>'Data Sheet'!I82</f>
        <v>22467</v>
      </c>
      <c r="J4" s="1">
        <f>'Data Sheet'!J82</f>
        <v>25210</v>
      </c>
      <c r="K4" s="1">
        <f>'Data Sheet'!K82</f>
        <v>35694</v>
      </c>
    </row>
    <row r="5" spans="1:11" x14ac:dyDescent="0.3">
      <c r="A5" t="s">
        <v>33</v>
      </c>
      <c r="B5" s="6">
        <f>'Data Sheet'!B83</f>
        <v>-885</v>
      </c>
      <c r="C5" s="6">
        <f>'Data Sheet'!C83</f>
        <v>-14664</v>
      </c>
      <c r="D5" s="6">
        <f>'Data Sheet'!D83</f>
        <v>4533</v>
      </c>
      <c r="E5" s="6">
        <f>'Data Sheet'!E83</f>
        <v>-632</v>
      </c>
      <c r="F5" s="6">
        <f>'Data Sheet'!F83</f>
        <v>-331</v>
      </c>
      <c r="G5" s="6">
        <f>'Data Sheet'!G83</f>
        <v>-7373</v>
      </c>
      <c r="H5" s="6">
        <f>'Data Sheet'!H83</f>
        <v>-6485</v>
      </c>
      <c r="I5" s="6">
        <f>'Data Sheet'!I83</f>
        <v>-1071</v>
      </c>
      <c r="J5" s="6">
        <f>'Data Sheet'!J83</f>
        <v>-5093</v>
      </c>
      <c r="K5" s="6">
        <f>'Data Sheet'!K83</f>
        <v>-1864</v>
      </c>
    </row>
    <row r="6" spans="1:11" x14ac:dyDescent="0.3">
      <c r="A6" t="s">
        <v>34</v>
      </c>
      <c r="B6" s="6">
        <f>'Data Sheet'!B84</f>
        <v>-6813</v>
      </c>
      <c r="C6" s="6">
        <f>'Data Sheet'!C84</f>
        <v>-6939</v>
      </c>
      <c r="D6" s="6">
        <f>'Data Sheet'!D84</f>
        <v>-20505</v>
      </c>
      <c r="E6" s="6">
        <f>'Data Sheet'!E84</f>
        <v>-14512</v>
      </c>
      <c r="F6" s="6">
        <f>'Data Sheet'!F84</f>
        <v>-17591</v>
      </c>
      <c r="G6" s="6">
        <f>'Data Sheet'!G84</f>
        <v>-9786</v>
      </c>
      <c r="H6" s="6">
        <f>'Data Sheet'!H84</f>
        <v>-24642</v>
      </c>
      <c r="I6" s="6">
        <f>'Data Sheet'!I84</f>
        <v>-26695</v>
      </c>
      <c r="J6" s="6">
        <f>'Data Sheet'!J84</f>
        <v>-17504</v>
      </c>
      <c r="K6" s="6">
        <f>'Data Sheet'!K84</f>
        <v>-24161</v>
      </c>
    </row>
    <row r="7" spans="1:11" s="2" customFormat="1" x14ac:dyDescent="0.3">
      <c r="A7" s="2" t="s">
        <v>35</v>
      </c>
      <c r="B7" s="1">
        <f>'Data Sheet'!B85</f>
        <v>2330</v>
      </c>
      <c r="C7" s="1">
        <f>'Data Sheet'!C85</f>
        <v>-10072</v>
      </c>
      <c r="D7" s="1">
        <f>'Data Sheet'!D85</f>
        <v>-2754</v>
      </c>
      <c r="E7" s="1">
        <f>'Data Sheet'!E85</f>
        <v>-303</v>
      </c>
      <c r="F7" s="1">
        <f>'Data Sheet'!F85</f>
        <v>-919</v>
      </c>
      <c r="G7" s="1">
        <f>'Data Sheet'!G85</f>
        <v>6065</v>
      </c>
      <c r="H7" s="1">
        <f>'Data Sheet'!H85</f>
        <v>-7242</v>
      </c>
      <c r="I7" s="1">
        <f>'Data Sheet'!I85</f>
        <v>-5299</v>
      </c>
      <c r="J7" s="1">
        <f>'Data Sheet'!J85</f>
        <v>2613</v>
      </c>
      <c r="K7" s="1">
        <f>'Data Sheet'!K85</f>
        <v>9669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C5C5-3B63-42F2-9DD3-551DD69715B9}">
  <sheetPr>
    <tabColor theme="7" tint="-0.499984740745262"/>
  </sheetPr>
  <dimension ref="A1"/>
  <sheetViews>
    <sheetView workbookViewId="0">
      <selection activeCell="L34" sqref="L3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4BC1-23C1-4754-8447-C3D23A1DDA68}">
  <sheetPr>
    <tabColor theme="0"/>
  </sheetPr>
  <dimension ref="A2:P101"/>
  <sheetViews>
    <sheetView showGridLines="0" tabSelected="1" zoomScale="80" zoomScaleNormal="80" workbookViewId="0">
      <pane ySplit="3" topLeftCell="A37" activePane="bottomLeft" state="frozen"/>
      <selection pane="bottomLeft" activeCell="C44" sqref="C44"/>
    </sheetView>
  </sheetViews>
  <sheetFormatPr defaultRowHeight="14.4" x14ac:dyDescent="0.3"/>
  <cols>
    <col min="1" max="1" width="1.88671875" customWidth="1"/>
    <col min="2" max="2" width="28.33203125" customWidth="1"/>
    <col min="3" max="13" width="13.77734375" customWidth="1"/>
  </cols>
  <sheetData>
    <row r="2" spans="1:13" x14ac:dyDescent="0.3">
      <c r="B2" s="91" t="str">
        <f>"Historical Financial Statement - "&amp;'Data Sheet'!B1</f>
        <v>Historical Financial Statement - INFOSYS LTD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x14ac:dyDescent="0.3">
      <c r="B3" s="21" t="s">
        <v>81</v>
      </c>
      <c r="C3" s="76">
        <f>'Data Sheet'!B16</f>
        <v>42460</v>
      </c>
      <c r="D3" s="76">
        <f>'Data Sheet'!C16</f>
        <v>42825</v>
      </c>
      <c r="E3" s="76">
        <f>'Data Sheet'!D16</f>
        <v>43190</v>
      </c>
      <c r="F3" s="76">
        <f>'Data Sheet'!E16</f>
        <v>43555</v>
      </c>
      <c r="G3" s="76">
        <f>'Data Sheet'!F16</f>
        <v>43921</v>
      </c>
      <c r="H3" s="76">
        <f>'Data Sheet'!G16</f>
        <v>44286</v>
      </c>
      <c r="I3" s="76">
        <f>'Data Sheet'!H16</f>
        <v>44651</v>
      </c>
      <c r="J3" s="76">
        <f>'Data Sheet'!I16</f>
        <v>45016</v>
      </c>
      <c r="K3" s="76">
        <f>'Data Sheet'!J16</f>
        <v>45382</v>
      </c>
      <c r="L3" s="76">
        <f>'Data Sheet'!K16</f>
        <v>45747</v>
      </c>
      <c r="M3" s="61" t="s">
        <v>82</v>
      </c>
    </row>
    <row r="4" spans="1:13" s="24" customFormat="1" x14ac:dyDescent="0.3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x14ac:dyDescent="0.3">
      <c r="A5" s="60" t="s">
        <v>83</v>
      </c>
      <c r="B5" s="29" t="s">
        <v>84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3">
      <c r="B6" t="s">
        <v>6</v>
      </c>
      <c r="C6" s="78">
        <f>IFERROR('Data Sheet'!B17,'Data Sheet'!C17)</f>
        <v>62441</v>
      </c>
      <c r="D6" s="78">
        <f>IFERROR('Data Sheet'!C17,'Data Sheet'!D17)</f>
        <v>68484</v>
      </c>
      <c r="E6" s="78">
        <f>IFERROR('Data Sheet'!D17,'Data Sheet'!E17)</f>
        <v>70522</v>
      </c>
      <c r="F6" s="78">
        <f>IFERROR('Data Sheet'!E17,'Data Sheet'!F17)</f>
        <v>82675</v>
      </c>
      <c r="G6" s="78">
        <f>IFERROR('Data Sheet'!F17,'Data Sheet'!G17)</f>
        <v>90791</v>
      </c>
      <c r="H6" s="78">
        <f>IFERROR('Data Sheet'!G17,'Data Sheet'!H17)</f>
        <v>100472</v>
      </c>
      <c r="I6" s="78">
        <f>IFERROR('Data Sheet'!H17,'Data Sheet'!I17)</f>
        <v>121641</v>
      </c>
      <c r="J6" s="78">
        <f>IFERROR('Data Sheet'!I17,'Data Sheet'!J17)</f>
        <v>146767</v>
      </c>
      <c r="K6" s="78">
        <f>IFERROR('Data Sheet'!J17,'Data Sheet'!K17)</f>
        <v>153670</v>
      </c>
      <c r="L6" s="78">
        <f>IFERROR('Data Sheet'!K17,'Data Sheet'!L17)</f>
        <v>162990</v>
      </c>
      <c r="M6" s="78">
        <f>IFERROR(SUM('Data Sheet'!H42:K42),0)</f>
        <v>173173</v>
      </c>
    </row>
    <row r="7" spans="1:13" x14ac:dyDescent="0.3">
      <c r="B7" s="36" t="s">
        <v>22</v>
      </c>
      <c r="C7" s="79"/>
      <c r="D7" s="79">
        <f>D6/C6-1</f>
        <v>9.67793597155715E-2</v>
      </c>
      <c r="E7" s="79">
        <f t="shared" ref="E7:M7" si="0">E6/D6-1</f>
        <v>2.9758775772443125E-2</v>
      </c>
      <c r="F7" s="79">
        <f t="shared" si="0"/>
        <v>0.17232920223476356</v>
      </c>
      <c r="G7" s="79">
        <f t="shared" si="0"/>
        <v>9.8167523435137571E-2</v>
      </c>
      <c r="H7" s="79">
        <f t="shared" si="0"/>
        <v>0.10662951173574475</v>
      </c>
      <c r="I7" s="79">
        <f t="shared" si="0"/>
        <v>0.21069551715900947</v>
      </c>
      <c r="J7" s="79">
        <f t="shared" si="0"/>
        <v>0.20655864387829759</v>
      </c>
      <c r="K7" s="79">
        <f t="shared" si="0"/>
        <v>4.7033733741236095E-2</v>
      </c>
      <c r="L7" s="79">
        <f t="shared" si="0"/>
        <v>6.0649443612936782E-2</v>
      </c>
      <c r="M7" s="79">
        <f t="shared" si="0"/>
        <v>6.2476225535308849E-2</v>
      </c>
    </row>
    <row r="8" spans="1:13" x14ac:dyDescent="0.3"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spans="1:13" x14ac:dyDescent="0.3">
      <c r="B9" t="s">
        <v>85</v>
      </c>
      <c r="C9" s="78">
        <f>IFERROR(SUM('Data Sheet'!B20:B22)-1*'Data Sheet'!B19,0)</f>
        <v>40492</v>
      </c>
      <c r="D9" s="78">
        <f>IFERROR(SUM('Data Sheet'!C20:C22)-1*'Data Sheet'!C19,0)</f>
        <v>44609</v>
      </c>
      <c r="E9" s="78">
        <f>IFERROR(SUM('Data Sheet'!D20:D22)-1*'Data Sheet'!D19,0)</f>
        <v>46395</v>
      </c>
      <c r="F9" s="78">
        <f>IFERROR(SUM('Data Sheet'!E20:E22)-1*'Data Sheet'!E19,0)</f>
        <v>55446</v>
      </c>
      <c r="G9" s="78">
        <f>IFERROR(SUM('Data Sheet'!F20:F22)-1*'Data Sheet'!F19,0)</f>
        <v>62210</v>
      </c>
      <c r="H9" s="78">
        <f>IFERROR(SUM('Data Sheet'!G20:G22)-1*'Data Sheet'!G19,0)</f>
        <v>68490</v>
      </c>
      <c r="I9" s="78">
        <f>IFERROR(SUM('Data Sheet'!H20:H22)-1*'Data Sheet'!H19,0)</f>
        <v>84819</v>
      </c>
      <c r="J9" s="78">
        <f>IFERROR(SUM('Data Sheet'!I20:I22)-1*'Data Sheet'!I19,0)</f>
        <v>104880</v>
      </c>
      <c r="K9" s="78">
        <f>IFERROR(SUM('Data Sheet'!J20:J22)-1*'Data Sheet'!J19,0)</f>
        <v>110030</v>
      </c>
      <c r="L9" s="78">
        <f>IFERROR(SUM('Data Sheet'!K20:K22)-1*'Data Sheet'!K19,0)</f>
        <v>116585</v>
      </c>
      <c r="M9" s="78">
        <f>IFERROR(SUM('Data Sheet'!H43:K43),0)</f>
        <v>132187</v>
      </c>
    </row>
    <row r="10" spans="1:13" x14ac:dyDescent="0.3">
      <c r="B10" s="36" t="s">
        <v>86</v>
      </c>
      <c r="C10" s="79">
        <f>C9/C6</f>
        <v>0.64848416905558848</v>
      </c>
      <c r="D10" s="79">
        <f t="shared" ref="D10:L10" si="1">D9/D6</f>
        <v>0.65137842415746738</v>
      </c>
      <c r="E10" s="79">
        <f t="shared" si="1"/>
        <v>0.65787981055557132</v>
      </c>
      <c r="F10" s="79">
        <f t="shared" si="1"/>
        <v>0.67065013607499246</v>
      </c>
      <c r="G10" s="79">
        <f t="shared" si="1"/>
        <v>0.68520007489729162</v>
      </c>
      <c r="H10" s="79">
        <f t="shared" si="1"/>
        <v>0.68168245879448996</v>
      </c>
      <c r="I10" s="79">
        <f t="shared" si="1"/>
        <v>0.69728956519594543</v>
      </c>
      <c r="J10" s="79">
        <f t="shared" si="1"/>
        <v>0.71460205632056251</v>
      </c>
      <c r="K10" s="79">
        <f t="shared" si="1"/>
        <v>0.71601483698835167</v>
      </c>
      <c r="L10" s="79">
        <f t="shared" si="1"/>
        <v>0.71528928155101545</v>
      </c>
      <c r="M10" s="79">
        <f>M9/M6</f>
        <v>0.76332338182049164</v>
      </c>
    </row>
    <row r="11" spans="1:13" x14ac:dyDescent="0.3"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1:13" x14ac:dyDescent="0.3">
      <c r="B12" s="39" t="s">
        <v>87</v>
      </c>
      <c r="C12" s="80">
        <f>C6-C9</f>
        <v>21949</v>
      </c>
      <c r="D12" s="80">
        <f t="shared" ref="D12:L12" si="2">D6-D9</f>
        <v>23875</v>
      </c>
      <c r="E12" s="80">
        <f t="shared" si="2"/>
        <v>24127</v>
      </c>
      <c r="F12" s="80">
        <f t="shared" si="2"/>
        <v>27229</v>
      </c>
      <c r="G12" s="80">
        <f t="shared" si="2"/>
        <v>28581</v>
      </c>
      <c r="H12" s="80">
        <f t="shared" si="2"/>
        <v>31982</v>
      </c>
      <c r="I12" s="80">
        <f t="shared" si="2"/>
        <v>36822</v>
      </c>
      <c r="J12" s="80">
        <f t="shared" si="2"/>
        <v>41887</v>
      </c>
      <c r="K12" s="80">
        <f t="shared" si="2"/>
        <v>43640</v>
      </c>
      <c r="L12" s="80">
        <f t="shared" si="2"/>
        <v>46405</v>
      </c>
      <c r="M12" s="80">
        <f>M6-M9</f>
        <v>40986</v>
      </c>
    </row>
    <row r="13" spans="1:13" x14ac:dyDescent="0.3">
      <c r="B13" s="37" t="s">
        <v>94</v>
      </c>
      <c r="C13" s="79">
        <f>C12/C6</f>
        <v>0.35151583094441152</v>
      </c>
      <c r="D13" s="79">
        <f>D12/D6</f>
        <v>0.34862157584253256</v>
      </c>
      <c r="E13" s="79">
        <f t="shared" ref="E13:M13" si="3">E12/E6</f>
        <v>0.34212018944442868</v>
      </c>
      <c r="F13" s="79">
        <f t="shared" si="3"/>
        <v>0.32934986392500754</v>
      </c>
      <c r="G13" s="79">
        <f t="shared" si="3"/>
        <v>0.31479992510270843</v>
      </c>
      <c r="H13" s="79">
        <f t="shared" si="3"/>
        <v>0.31831754120550998</v>
      </c>
      <c r="I13" s="79">
        <f t="shared" si="3"/>
        <v>0.30271043480405457</v>
      </c>
      <c r="J13" s="79">
        <f t="shared" si="3"/>
        <v>0.28539794367943749</v>
      </c>
      <c r="K13" s="79">
        <f t="shared" si="3"/>
        <v>0.28398516301164833</v>
      </c>
      <c r="L13" s="79">
        <f>L12/L6</f>
        <v>0.2847107184489846</v>
      </c>
      <c r="M13" s="79">
        <f t="shared" si="3"/>
        <v>0.23667661817950836</v>
      </c>
    </row>
    <row r="14" spans="1:13" x14ac:dyDescent="0.3"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</row>
    <row r="15" spans="1:13" x14ac:dyDescent="0.3">
      <c r="B15" t="s">
        <v>88</v>
      </c>
      <c r="C15" s="78">
        <f>IFERROR(SUM('Data Sheet'!B23:B24),0)</f>
        <v>4870</v>
      </c>
      <c r="D15" s="78">
        <f>IFERROR(SUM('Data Sheet'!C23:C24),0)</f>
        <v>5271</v>
      </c>
      <c r="E15" s="78">
        <f>IFERROR(SUM('Data Sheet'!D23:D24),0)</f>
        <v>5305</v>
      </c>
      <c r="F15" s="78">
        <f>IFERROR(SUM('Data Sheet'!E23:E24),0)</f>
        <v>7059</v>
      </c>
      <c r="G15" s="78">
        <f>IFERROR(SUM('Data Sheet'!F23:F24),0)</f>
        <v>6314</v>
      </c>
      <c r="H15" s="78">
        <f>IFERROR(SUM('Data Sheet'!G23:G24),0)</f>
        <v>4093</v>
      </c>
      <c r="I15" s="78">
        <f>IFERROR(SUM('Data Sheet'!H23:H24),0)</f>
        <v>5331</v>
      </c>
      <c r="J15" s="78">
        <f>IFERROR(SUM('Data Sheet'!I23:I24),0)</f>
        <v>6757</v>
      </c>
      <c r="K15" s="78">
        <f>IFERROR(SUM('Data Sheet'!J23:J24),0)</f>
        <v>7215</v>
      </c>
      <c r="L15" s="78">
        <f>IFERROR(SUM('Data Sheet'!K23:K24),0)</f>
        <v>7169</v>
      </c>
      <c r="M15" s="78"/>
    </row>
    <row r="16" spans="1:13" x14ac:dyDescent="0.3">
      <c r="B16" s="37" t="s">
        <v>89</v>
      </c>
      <c r="C16" s="79">
        <f>C15/C6</f>
        <v>7.7993625982927889E-2</v>
      </c>
      <c r="D16" s="79">
        <f t="shared" ref="D16:L16" si="4">D15/D6</f>
        <v>7.6966882775538814E-2</v>
      </c>
      <c r="E16" s="79">
        <f t="shared" si="4"/>
        <v>7.5224752559484978E-2</v>
      </c>
      <c r="F16" s="79">
        <f t="shared" si="4"/>
        <v>8.5382521923193233E-2</v>
      </c>
      <c r="G16" s="79">
        <f t="shared" si="4"/>
        <v>6.9544338095185648E-2</v>
      </c>
      <c r="H16" s="79">
        <f t="shared" si="4"/>
        <v>4.0737717971176049E-2</v>
      </c>
      <c r="I16" s="79">
        <f t="shared" si="4"/>
        <v>4.3825683774385282E-2</v>
      </c>
      <c r="J16" s="79">
        <f t="shared" si="4"/>
        <v>4.6038959711651804E-2</v>
      </c>
      <c r="K16" s="79">
        <f t="shared" si="4"/>
        <v>4.6951259191774584E-2</v>
      </c>
      <c r="L16" s="79">
        <f t="shared" si="4"/>
        <v>4.3984293514939564E-2</v>
      </c>
      <c r="M16" s="79"/>
    </row>
    <row r="17" spans="2:16" x14ac:dyDescent="0.3"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2:16" x14ac:dyDescent="0.3">
      <c r="B18" s="39" t="s">
        <v>90</v>
      </c>
      <c r="C18" s="80">
        <f>C12-C15</f>
        <v>17079</v>
      </c>
      <c r="D18" s="80">
        <f t="shared" ref="D18:M18" si="5">D12-D15</f>
        <v>18604</v>
      </c>
      <c r="E18" s="80">
        <f t="shared" si="5"/>
        <v>18822</v>
      </c>
      <c r="F18" s="80">
        <f t="shared" si="5"/>
        <v>20170</v>
      </c>
      <c r="G18" s="80">
        <f t="shared" si="5"/>
        <v>22267</v>
      </c>
      <c r="H18" s="80">
        <f t="shared" si="5"/>
        <v>27889</v>
      </c>
      <c r="I18" s="80">
        <f t="shared" si="5"/>
        <v>31491</v>
      </c>
      <c r="J18" s="80">
        <f t="shared" si="5"/>
        <v>35130</v>
      </c>
      <c r="K18" s="80">
        <f t="shared" si="5"/>
        <v>36425</v>
      </c>
      <c r="L18" s="80">
        <f t="shared" si="5"/>
        <v>39236</v>
      </c>
      <c r="M18" s="80">
        <f t="shared" si="5"/>
        <v>40986</v>
      </c>
    </row>
    <row r="19" spans="2:16" x14ac:dyDescent="0.3">
      <c r="B19" s="37" t="s">
        <v>91</v>
      </c>
      <c r="C19" s="79">
        <f>C18/C6</f>
        <v>0.27352220496148366</v>
      </c>
      <c r="D19" s="79">
        <f t="shared" ref="D19:M19" si="6">D18/D6</f>
        <v>0.27165469306699375</v>
      </c>
      <c r="E19" s="79">
        <f t="shared" si="6"/>
        <v>0.26689543688494372</v>
      </c>
      <c r="F19" s="79">
        <f t="shared" si="6"/>
        <v>0.24396734200181433</v>
      </c>
      <c r="G19" s="79">
        <f t="shared" si="6"/>
        <v>0.24525558700752279</v>
      </c>
      <c r="H19" s="79">
        <f t="shared" si="6"/>
        <v>0.27757982323433394</v>
      </c>
      <c r="I19" s="79">
        <f t="shared" si="6"/>
        <v>0.25888475102966929</v>
      </c>
      <c r="J19" s="79">
        <f t="shared" si="6"/>
        <v>0.23935898396778568</v>
      </c>
      <c r="K19" s="79">
        <f t="shared" si="6"/>
        <v>0.23703390381987374</v>
      </c>
      <c r="L19" s="79">
        <f t="shared" si="6"/>
        <v>0.24072642493404503</v>
      </c>
      <c r="M19" s="79">
        <f t="shared" si="6"/>
        <v>0.23667661817950836</v>
      </c>
    </row>
    <row r="20" spans="2:16" x14ac:dyDescent="0.3"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P20" s="90"/>
    </row>
    <row r="21" spans="2:16" x14ac:dyDescent="0.3">
      <c r="B21" t="s">
        <v>11</v>
      </c>
      <c r="C21" s="78">
        <f>IFERROR(SUM('Data Sheet'!B27),0)</f>
        <v>0</v>
      </c>
      <c r="D21" s="78">
        <f>IFERROR(SUM('Data Sheet'!C27),0)</f>
        <v>0</v>
      </c>
      <c r="E21" s="78">
        <f>IFERROR(SUM('Data Sheet'!D27),0)</f>
        <v>0</v>
      </c>
      <c r="F21" s="78">
        <f>IFERROR(SUM('Data Sheet'!E27),0)</f>
        <v>0</v>
      </c>
      <c r="G21" s="78">
        <f>IFERROR(SUM('Data Sheet'!F27),0)</f>
        <v>170</v>
      </c>
      <c r="H21" s="78">
        <f>IFERROR(SUM('Data Sheet'!G27),0)</f>
        <v>195</v>
      </c>
      <c r="I21" s="78">
        <f>IFERROR(SUM('Data Sheet'!H27),0)</f>
        <v>200</v>
      </c>
      <c r="J21" s="78">
        <f>IFERROR(SUM('Data Sheet'!I27),0)</f>
        <v>284</v>
      </c>
      <c r="K21" s="78">
        <f>IFERROR(SUM('Data Sheet'!J27),0)</f>
        <v>470</v>
      </c>
      <c r="L21" s="78">
        <f>IFERROR(SUM('Data Sheet'!K27),0)</f>
        <v>416</v>
      </c>
      <c r="M21" s="78">
        <f>IFERROR(SUM('Data Sheet'!H46:K46),)</f>
        <v>413</v>
      </c>
    </row>
    <row r="22" spans="2:16" x14ac:dyDescent="0.3">
      <c r="B22" s="37" t="s">
        <v>92</v>
      </c>
      <c r="C22" s="79">
        <f>C21/C6</f>
        <v>0</v>
      </c>
      <c r="D22" s="79">
        <f t="shared" ref="D22:M22" si="7">D21/D6</f>
        <v>0</v>
      </c>
      <c r="E22" s="79">
        <f t="shared" si="7"/>
        <v>0</v>
      </c>
      <c r="F22" s="79">
        <f t="shared" si="7"/>
        <v>0</v>
      </c>
      <c r="G22" s="79">
        <f t="shared" si="7"/>
        <v>1.8724322895441179E-3</v>
      </c>
      <c r="H22" s="79">
        <f t="shared" si="7"/>
        <v>1.9408392387928975E-3</v>
      </c>
      <c r="I22" s="79">
        <f t="shared" si="7"/>
        <v>1.6441824713706726E-3</v>
      </c>
      <c r="J22" s="79">
        <f t="shared" si="7"/>
        <v>1.9350398931639945E-3</v>
      </c>
      <c r="K22" s="79">
        <f t="shared" si="7"/>
        <v>3.0585019847725646E-3</v>
      </c>
      <c r="L22" s="79">
        <f t="shared" si="7"/>
        <v>2.5523038223203877E-3</v>
      </c>
      <c r="M22" s="79">
        <f t="shared" si="7"/>
        <v>2.384898338655564E-3</v>
      </c>
      <c r="P22" s="46"/>
    </row>
    <row r="23" spans="2:16" x14ac:dyDescent="0.3"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2:16" x14ac:dyDescent="0.3">
      <c r="B24" t="s">
        <v>10</v>
      </c>
      <c r="C24" s="78">
        <f>IFERROR(SUM('Data Sheet'!B26),0)</f>
        <v>1459</v>
      </c>
      <c r="D24" s="78">
        <f>IFERROR(SUM('Data Sheet'!C26),0)</f>
        <v>1703</v>
      </c>
      <c r="E24" s="78">
        <f>IFERROR(SUM('Data Sheet'!D26),0)</f>
        <v>1863</v>
      </c>
      <c r="F24" s="78">
        <f>IFERROR(SUM('Data Sheet'!E26),0)</f>
        <v>2011</v>
      </c>
      <c r="G24" s="78">
        <f>IFERROR(SUM('Data Sheet'!F26),0)</f>
        <v>2893</v>
      </c>
      <c r="H24" s="78">
        <f>IFERROR(SUM('Data Sheet'!G26),0)</f>
        <v>3267</v>
      </c>
      <c r="I24" s="78">
        <f>IFERROR(SUM('Data Sheet'!H26),0)</f>
        <v>3476</v>
      </c>
      <c r="J24" s="78">
        <f>IFERROR(SUM('Data Sheet'!I26),0)</f>
        <v>4225</v>
      </c>
      <c r="K24" s="78">
        <f>IFERROR(SUM('Data Sheet'!J26),0)</f>
        <v>4678</v>
      </c>
      <c r="L24" s="78">
        <f>IFERROR(SUM('Data Sheet'!K26),0)</f>
        <v>4812</v>
      </c>
      <c r="M24" s="78">
        <f>IFERROR(SUM('Data Sheet'!H45:K45),0)</f>
        <v>4776</v>
      </c>
    </row>
    <row r="25" spans="2:16" x14ac:dyDescent="0.3">
      <c r="B25" s="37" t="s">
        <v>93</v>
      </c>
      <c r="C25" s="79">
        <f>C24/C6</f>
        <v>2.3366057558335068E-2</v>
      </c>
      <c r="D25" s="79">
        <f t="shared" ref="D25:M25" si="8">D24/D6</f>
        <v>2.4867122247532271E-2</v>
      </c>
      <c r="E25" s="79">
        <f t="shared" si="8"/>
        <v>2.6417288222115084E-2</v>
      </c>
      <c r="F25" s="79">
        <f t="shared" si="8"/>
        <v>2.4324160870879952E-2</v>
      </c>
      <c r="G25" s="79">
        <f t="shared" si="8"/>
        <v>3.1864391845006661E-2</v>
      </c>
      <c r="H25" s="79">
        <f t="shared" si="8"/>
        <v>3.2516522016084085E-2</v>
      </c>
      <c r="I25" s="79">
        <f t="shared" si="8"/>
        <v>2.8575891352422292E-2</v>
      </c>
      <c r="J25" s="79">
        <f t="shared" si="8"/>
        <v>2.8787125171189708E-2</v>
      </c>
      <c r="K25" s="79">
        <f t="shared" si="8"/>
        <v>3.0441855925034164E-2</v>
      </c>
      <c r="L25" s="79">
        <f t="shared" si="8"/>
        <v>2.9523283637032948E-2</v>
      </c>
      <c r="M25" s="79">
        <f t="shared" si="8"/>
        <v>2.7579357059125845E-2</v>
      </c>
    </row>
    <row r="26" spans="2:16" x14ac:dyDescent="0.3"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2:16" x14ac:dyDescent="0.3">
      <c r="B27" s="39" t="s">
        <v>95</v>
      </c>
      <c r="C27" s="80">
        <f>IFERROR(C18-SUM(C24,C21),0)</f>
        <v>15620</v>
      </c>
      <c r="D27" s="80">
        <f t="shared" ref="D27:L27" si="9">IFERROR(D18-SUM(D24,D21),0)</f>
        <v>16901</v>
      </c>
      <c r="E27" s="80">
        <f t="shared" si="9"/>
        <v>16959</v>
      </c>
      <c r="F27" s="80">
        <f t="shared" si="9"/>
        <v>18159</v>
      </c>
      <c r="G27" s="80">
        <f t="shared" si="9"/>
        <v>19204</v>
      </c>
      <c r="H27" s="80">
        <f t="shared" si="9"/>
        <v>24427</v>
      </c>
      <c r="I27" s="80">
        <f t="shared" si="9"/>
        <v>27815</v>
      </c>
      <c r="J27" s="80">
        <f t="shared" si="9"/>
        <v>30621</v>
      </c>
      <c r="K27" s="80">
        <f t="shared" si="9"/>
        <v>31277</v>
      </c>
      <c r="L27" s="80">
        <f t="shared" si="9"/>
        <v>34008</v>
      </c>
      <c r="M27" s="80">
        <f>IFERROR(SUM('Data Sheet'!H47:K47),0)</f>
        <v>38861</v>
      </c>
    </row>
    <row r="28" spans="2:16" x14ac:dyDescent="0.3">
      <c r="B28" s="37" t="s">
        <v>96</v>
      </c>
      <c r="C28" s="79">
        <f>C27/C6</f>
        <v>0.25015614740314857</v>
      </c>
      <c r="D28" s="79">
        <f t="shared" ref="D28:M28" si="10">D27/D6</f>
        <v>0.24678757081946148</v>
      </c>
      <c r="E28" s="79">
        <f t="shared" si="10"/>
        <v>0.24047814866282863</v>
      </c>
      <c r="F28" s="79">
        <f t="shared" si="10"/>
        <v>0.2196431811309344</v>
      </c>
      <c r="G28" s="79">
        <f t="shared" si="10"/>
        <v>0.211518762872972</v>
      </c>
      <c r="H28" s="79">
        <f t="shared" si="10"/>
        <v>0.24312246197945697</v>
      </c>
      <c r="I28" s="79">
        <f t="shared" si="10"/>
        <v>0.2286646772058763</v>
      </c>
      <c r="J28" s="79">
        <f t="shared" si="10"/>
        <v>0.20863681890343197</v>
      </c>
      <c r="K28" s="79">
        <f t="shared" si="10"/>
        <v>0.20353354591006703</v>
      </c>
      <c r="L28" s="79">
        <f t="shared" si="10"/>
        <v>0.20865083747469171</v>
      </c>
      <c r="M28" s="79">
        <f t="shared" si="10"/>
        <v>0.22440565215131689</v>
      </c>
    </row>
    <row r="29" spans="2:16" x14ac:dyDescent="0.3"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0" spans="2:16" x14ac:dyDescent="0.3">
      <c r="B30" t="s">
        <v>13</v>
      </c>
      <c r="C30" s="78">
        <f>IFERROR(SUM('Data Sheet'!B29),0)</f>
        <v>5251</v>
      </c>
      <c r="D30" s="78">
        <f>IFERROR(SUM('Data Sheet'!C29),0)</f>
        <v>5598</v>
      </c>
      <c r="E30" s="78">
        <f>IFERROR(SUM('Data Sheet'!D29),0)</f>
        <v>4241</v>
      </c>
      <c r="F30" s="78">
        <f>IFERROR(SUM('Data Sheet'!E29),0)</f>
        <v>5631</v>
      </c>
      <c r="G30" s="78">
        <f>IFERROR(SUM('Data Sheet'!F29),0)</f>
        <v>5368</v>
      </c>
      <c r="H30" s="78">
        <f>IFERROR(SUM('Data Sheet'!G29),0)</f>
        <v>7205</v>
      </c>
      <c r="I30" s="78">
        <f>IFERROR(SUM('Data Sheet'!H29),0)</f>
        <v>7964</v>
      </c>
      <c r="J30" s="78">
        <f>IFERROR(SUM('Data Sheet'!I29),0)</f>
        <v>9214</v>
      </c>
      <c r="K30" s="78">
        <f>IFERROR(SUM('Data Sheet'!J29),0)</f>
        <v>9740</v>
      </c>
      <c r="L30" s="78">
        <f>IFERROR(SUM('Data Sheet'!K29),0)</f>
        <v>10858</v>
      </c>
      <c r="M30" s="78">
        <f>IFERROR(SUM('Data Sheet'!H48:K48),0)</f>
        <v>10858</v>
      </c>
    </row>
    <row r="31" spans="2:16" x14ac:dyDescent="0.3">
      <c r="B31" s="37" t="s">
        <v>97</v>
      </c>
      <c r="C31" s="79">
        <f>C30/C27</f>
        <v>0.33617157490396926</v>
      </c>
      <c r="D31" s="79">
        <f t="shared" ref="D31:L31" si="11">D30/D27</f>
        <v>0.33122300455594345</v>
      </c>
      <c r="E31" s="79">
        <f t="shared" si="11"/>
        <v>0.25007370717613064</v>
      </c>
      <c r="F31" s="79">
        <f t="shared" si="11"/>
        <v>0.31009416818106722</v>
      </c>
      <c r="G31" s="79">
        <f t="shared" si="11"/>
        <v>0.27952509893772132</v>
      </c>
      <c r="H31" s="79">
        <f t="shared" si="11"/>
        <v>0.29496049453473616</v>
      </c>
      <c r="I31" s="79">
        <f t="shared" si="11"/>
        <v>0.28632033075678592</v>
      </c>
      <c r="J31" s="79">
        <f t="shared" si="11"/>
        <v>0.30090460794879331</v>
      </c>
      <c r="K31" s="79">
        <f t="shared" si="11"/>
        <v>0.31141094094702176</v>
      </c>
      <c r="L31" s="79">
        <f t="shared" si="11"/>
        <v>0.31927781698423902</v>
      </c>
      <c r="M31" s="79">
        <f>M30/M27</f>
        <v>0.27940608836622838</v>
      </c>
    </row>
    <row r="32" spans="2:16" x14ac:dyDescent="0.3"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spans="1:13" x14ac:dyDescent="0.3">
      <c r="B33" s="39" t="s">
        <v>98</v>
      </c>
      <c r="C33" s="80">
        <f>(C27-C30)</f>
        <v>10369</v>
      </c>
      <c r="D33" s="80">
        <f t="shared" ref="D33:L33" si="12">(D27-D30)</f>
        <v>11303</v>
      </c>
      <c r="E33" s="80">
        <f t="shared" si="12"/>
        <v>12718</v>
      </c>
      <c r="F33" s="80">
        <f t="shared" si="12"/>
        <v>12528</v>
      </c>
      <c r="G33" s="80">
        <f t="shared" si="12"/>
        <v>13836</v>
      </c>
      <c r="H33" s="80">
        <f t="shared" si="12"/>
        <v>17222</v>
      </c>
      <c r="I33" s="80">
        <f t="shared" si="12"/>
        <v>19851</v>
      </c>
      <c r="J33" s="80">
        <f t="shared" si="12"/>
        <v>21407</v>
      </c>
      <c r="K33" s="80">
        <f t="shared" si="12"/>
        <v>21537</v>
      </c>
      <c r="L33" s="80">
        <f t="shared" si="12"/>
        <v>23150</v>
      </c>
      <c r="M33" s="80">
        <f>(M27-M30)</f>
        <v>28003</v>
      </c>
    </row>
    <row r="34" spans="1:13" x14ac:dyDescent="0.3">
      <c r="B34" s="37" t="s">
        <v>99</v>
      </c>
      <c r="C34" s="79">
        <f>C33/C6</f>
        <v>0.16606076135872264</v>
      </c>
      <c r="D34" s="79">
        <f t="shared" ref="D34:L34" si="13">D33/D6</f>
        <v>0.16504585012557677</v>
      </c>
      <c r="E34" s="79">
        <f t="shared" si="13"/>
        <v>0.18034088653186239</v>
      </c>
      <c r="F34" s="79">
        <f t="shared" si="13"/>
        <v>0.1515331115814938</v>
      </c>
      <c r="G34" s="79">
        <f t="shared" si="13"/>
        <v>0.15239395975372008</v>
      </c>
      <c r="H34" s="79">
        <f t="shared" si="13"/>
        <v>0.17141094036149376</v>
      </c>
      <c r="I34" s="79">
        <f t="shared" si="13"/>
        <v>0.16319333119589613</v>
      </c>
      <c r="J34" s="79">
        <f t="shared" si="13"/>
        <v>0.14585703870761138</v>
      </c>
      <c r="K34" s="79">
        <f t="shared" si="13"/>
        <v>0.14015097286392919</v>
      </c>
      <c r="L34" s="79">
        <f t="shared" si="13"/>
        <v>0.14203325357383889</v>
      </c>
      <c r="M34" s="79">
        <f>M33/M6</f>
        <v>0.16170534667644496</v>
      </c>
    </row>
    <row r="35" spans="1:13" x14ac:dyDescent="0.3"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</row>
    <row r="36" spans="1:13" x14ac:dyDescent="0.3">
      <c r="B36" t="s">
        <v>100</v>
      </c>
      <c r="C36" s="78">
        <f>IFERROR('Data Sheet'!B93,0)</f>
        <v>459.39</v>
      </c>
      <c r="D36" s="78">
        <f>IFERROR('Data Sheet'!C93,0)</f>
        <v>459.39</v>
      </c>
      <c r="E36" s="78">
        <f>IFERROR('Data Sheet'!D93,0)</f>
        <v>436.82</v>
      </c>
      <c r="F36" s="78">
        <f>IFERROR('Data Sheet'!E93,0)</f>
        <v>436.89</v>
      </c>
      <c r="G36" s="78">
        <f>IFERROR('Data Sheet'!F93,0)</f>
        <v>425.9</v>
      </c>
      <c r="H36" s="78">
        <f>IFERROR('Data Sheet'!G93,0)</f>
        <v>426.07</v>
      </c>
      <c r="I36" s="78">
        <f>IFERROR('Data Sheet'!H93,0)</f>
        <v>420.67</v>
      </c>
      <c r="J36" s="78">
        <f>IFERROR('Data Sheet'!I93,0)</f>
        <v>414.86</v>
      </c>
      <c r="K36" s="78">
        <f>IFERROR('Data Sheet'!J93,0)</f>
        <v>415.09</v>
      </c>
      <c r="L36" s="78">
        <f>IFERROR('Data Sheet'!K93,0)</f>
        <v>415.33</v>
      </c>
      <c r="M36" s="78">
        <f>IFERROR('Data Sheet'!L93,0)</f>
        <v>0</v>
      </c>
    </row>
    <row r="37" spans="1:13" x14ac:dyDescent="0.3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spans="1:13" x14ac:dyDescent="0.3">
      <c r="B38" t="s">
        <v>101</v>
      </c>
      <c r="C38" s="78">
        <f>C33/C36</f>
        <v>22.571235769172162</v>
      </c>
      <c r="D38" s="78">
        <f t="shared" ref="D38:L38" si="14">D33/D36</f>
        <v>24.604366660136268</v>
      </c>
      <c r="E38" s="78">
        <f t="shared" si="14"/>
        <v>29.114967263403692</v>
      </c>
      <c r="F38" s="78">
        <f t="shared" si="14"/>
        <v>28.6754102863421</v>
      </c>
      <c r="G38" s="78">
        <f t="shared" si="14"/>
        <v>32.486499178210849</v>
      </c>
      <c r="H38" s="78">
        <f t="shared" si="14"/>
        <v>40.420588166263762</v>
      </c>
      <c r="I38" s="78">
        <f t="shared" si="14"/>
        <v>47.189008011030019</v>
      </c>
      <c r="J38" s="78">
        <f t="shared" si="14"/>
        <v>51.600539941184977</v>
      </c>
      <c r="K38" s="78">
        <f t="shared" si="14"/>
        <v>51.885133344575877</v>
      </c>
      <c r="L38" s="78">
        <f t="shared" si="14"/>
        <v>55.738810102809815</v>
      </c>
      <c r="M38" s="78"/>
    </row>
    <row r="39" spans="1:13" x14ac:dyDescent="0.3">
      <c r="B39" s="37" t="s">
        <v>102</v>
      </c>
      <c r="C39" s="79"/>
      <c r="D39" s="79">
        <f>D38/C38-1</f>
        <v>9.0076188639213184E-2</v>
      </c>
      <c r="E39" s="79">
        <f t="shared" ref="E39:L39" si="15">E38/D38-1</f>
        <v>0.1833252066827411</v>
      </c>
      <c r="F39" s="79">
        <f t="shared" si="15"/>
        <v>-1.5097285636109792E-2</v>
      </c>
      <c r="G39" s="79">
        <f t="shared" si="15"/>
        <v>0.13290442416734827</v>
      </c>
      <c r="H39" s="79">
        <f t="shared" si="15"/>
        <v>0.24422726944288353</v>
      </c>
      <c r="I39" s="79">
        <f t="shared" si="15"/>
        <v>0.16744981089650213</v>
      </c>
      <c r="J39" s="79">
        <f t="shared" si="15"/>
        <v>9.3486430762091954E-2</v>
      </c>
      <c r="K39" s="79">
        <f t="shared" si="15"/>
        <v>5.5153183225462588E-3</v>
      </c>
      <c r="L39" s="79">
        <f t="shared" si="15"/>
        <v>7.4273236085588668E-2</v>
      </c>
      <c r="M39" s="78"/>
    </row>
    <row r="40" spans="1:13" x14ac:dyDescent="0.3">
      <c r="B40" s="37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8"/>
    </row>
    <row r="41" spans="1:13" x14ac:dyDescent="0.3">
      <c r="B41" s="22" t="s">
        <v>173</v>
      </c>
      <c r="C41" s="78">
        <f>IFERROR('Data Sheet'!B31/'Historical FS'!C36,0)</f>
        <v>12.077755284181196</v>
      </c>
      <c r="D41" s="78">
        <f>IFERROR('Data Sheet'!C31/'Historical FS'!D36,0)</f>
        <v>12.824832930625396</v>
      </c>
      <c r="E41" s="78">
        <f>IFERROR('Data Sheet'!D31/'Historical FS'!E36,0)</f>
        <v>21.669337484547412</v>
      </c>
      <c r="F41" s="78">
        <f>IFERROR('Data Sheet'!E31/'Historical FS'!F36,0)</f>
        <v>21.109432580283368</v>
      </c>
      <c r="G41" s="78">
        <f>IFERROR('Data Sheet'!F31/'Historical FS'!G36,0)</f>
        <v>17.438365813571263</v>
      </c>
      <c r="H41" s="78">
        <f>IFERROR('Data Sheet'!G31/'Historical FS'!H36,0)</f>
        <v>26.919520266622857</v>
      </c>
      <c r="I41" s="78">
        <f>IFERROR('Data Sheet'!H31/'Historical FS'!I36,0)</f>
        <v>30.921149594694178</v>
      </c>
      <c r="J41" s="78">
        <f>IFERROR('Data Sheet'!I31/'Historical FS'!J36,0)</f>
        <v>33.913127320059779</v>
      </c>
      <c r="K41" s="78">
        <f>IFERROR('Data Sheet'!J31/'Historical FS'!K36,0)</f>
        <v>45.901370787058234</v>
      </c>
      <c r="L41" s="78">
        <f>IFERROR('Data Sheet'!K31/'Historical FS'!L36,0)</f>
        <v>42.924421544314157</v>
      </c>
      <c r="M41" s="78"/>
    </row>
    <row r="42" spans="1:13" x14ac:dyDescent="0.3">
      <c r="B42" s="37" t="s">
        <v>174</v>
      </c>
      <c r="C42" s="79">
        <f>IFERROR(C41/C38,0)</f>
        <v>0.53509499469572763</v>
      </c>
      <c r="D42" s="79">
        <f t="shared" ref="D42:L42" si="16">IFERROR(D41/D38,0)</f>
        <v>0.52124214810227376</v>
      </c>
      <c r="E42" s="79">
        <f t="shared" si="16"/>
        <v>0.74426796666142481</v>
      </c>
      <c r="F42" s="79">
        <f t="shared" si="16"/>
        <v>0.73615102171136659</v>
      </c>
      <c r="G42" s="79">
        <f t="shared" si="16"/>
        <v>0.53678808904307607</v>
      </c>
      <c r="H42" s="79">
        <f t="shared" si="16"/>
        <v>0.66598536755312976</v>
      </c>
      <c r="I42" s="79">
        <f t="shared" si="16"/>
        <v>0.6552616996624856</v>
      </c>
      <c r="J42" s="79">
        <f t="shared" si="16"/>
        <v>0.65722427243425052</v>
      </c>
      <c r="K42" s="79">
        <f t="shared" si="16"/>
        <v>0.8846728885174352</v>
      </c>
      <c r="L42" s="79">
        <f t="shared" si="16"/>
        <v>0.77009935205183577</v>
      </c>
      <c r="M42" s="57"/>
    </row>
    <row r="43" spans="1:13" x14ac:dyDescent="0.3">
      <c r="B43" s="37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57"/>
    </row>
    <row r="44" spans="1:13" x14ac:dyDescent="0.3">
      <c r="B44" s="22" t="s">
        <v>175</v>
      </c>
      <c r="C44" s="81">
        <f>IFERROR(IF(C38&gt;C41,1-C42,0),0)</f>
        <v>0.46490500530427237</v>
      </c>
      <c r="D44" s="81">
        <f t="shared" ref="D44:L44" si="17">IFERROR(IF(D38&gt;D41,1-D42,0),0)</f>
        <v>0.47875785189772624</v>
      </c>
      <c r="E44" s="81">
        <f t="shared" si="17"/>
        <v>0.25573203333857519</v>
      </c>
      <c r="F44" s="81">
        <f t="shared" si="17"/>
        <v>0.26384897828863341</v>
      </c>
      <c r="G44" s="81">
        <f t="shared" si="17"/>
        <v>0.46321191095692393</v>
      </c>
      <c r="H44" s="81">
        <f t="shared" si="17"/>
        <v>0.33401463244687024</v>
      </c>
      <c r="I44" s="81">
        <f t="shared" si="17"/>
        <v>0.3447383003375144</v>
      </c>
      <c r="J44" s="81">
        <f t="shared" si="17"/>
        <v>0.34277572756574948</v>
      </c>
      <c r="K44" s="81">
        <f t="shared" si="17"/>
        <v>0.1153271114825648</v>
      </c>
      <c r="L44" s="81">
        <f t="shared" si="17"/>
        <v>0.22990064794816423</v>
      </c>
      <c r="M44" s="82"/>
    </row>
    <row r="45" spans="1:13" x14ac:dyDescent="0.3">
      <c r="B45" s="2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57"/>
    </row>
    <row r="46" spans="1:13" x14ac:dyDescent="0.3">
      <c r="A46" s="60" t="s">
        <v>83</v>
      </c>
      <c r="B46" s="29" t="s">
        <v>108</v>
      </c>
      <c r="C46" s="84"/>
      <c r="D46" s="77"/>
      <c r="E46" s="77"/>
      <c r="F46" s="77"/>
      <c r="G46" s="77"/>
      <c r="H46" s="77"/>
      <c r="I46" s="77"/>
      <c r="J46" s="77"/>
      <c r="K46" s="77"/>
      <c r="L46" s="77"/>
      <c r="M46" s="77"/>
    </row>
    <row r="47" spans="1:13" x14ac:dyDescent="0.3">
      <c r="B47" s="27" t="s">
        <v>24</v>
      </c>
      <c r="C47" s="78">
        <f>IFERROR('Data Sheet'!B57,0)</f>
        <v>1144</v>
      </c>
      <c r="D47" s="78">
        <f>IFERROR('Data Sheet'!C57,0)</f>
        <v>1144</v>
      </c>
      <c r="E47" s="78">
        <f>IFERROR('Data Sheet'!D57,0)</f>
        <v>1088</v>
      </c>
      <c r="F47" s="78">
        <f>IFERROR('Data Sheet'!E57,0)</f>
        <v>2170</v>
      </c>
      <c r="G47" s="78">
        <f>IFERROR('Data Sheet'!F57,0)</f>
        <v>2122</v>
      </c>
      <c r="H47" s="78">
        <f>IFERROR('Data Sheet'!G57,0)</f>
        <v>2124</v>
      </c>
      <c r="I47" s="78">
        <f>IFERROR('Data Sheet'!H57,0)</f>
        <v>2098</v>
      </c>
      <c r="J47" s="78">
        <f>IFERROR('Data Sheet'!I57,0)</f>
        <v>2069</v>
      </c>
      <c r="K47" s="78">
        <f>IFERROR('Data Sheet'!J57,0)</f>
        <v>2071</v>
      </c>
      <c r="L47" s="78">
        <f>IFERROR('Data Sheet'!K57,0)</f>
        <v>2073</v>
      </c>
      <c r="M47" s="78">
        <f>L47</f>
        <v>2073</v>
      </c>
    </row>
    <row r="48" spans="1:13" x14ac:dyDescent="0.3">
      <c r="B48" s="27" t="s">
        <v>25</v>
      </c>
      <c r="C48" s="78">
        <f>IFERROR('Data Sheet'!B58,0)</f>
        <v>60600</v>
      </c>
      <c r="D48" s="78">
        <f>IFERROR('Data Sheet'!C58,0)</f>
        <v>67838</v>
      </c>
      <c r="E48" s="78">
        <f>IFERROR('Data Sheet'!D58,0)</f>
        <v>63835</v>
      </c>
      <c r="F48" s="78">
        <f>IFERROR('Data Sheet'!E58,0)</f>
        <v>62778</v>
      </c>
      <c r="G48" s="78">
        <f>IFERROR('Data Sheet'!F58,0)</f>
        <v>63328</v>
      </c>
      <c r="H48" s="78">
        <f>IFERROR('Data Sheet'!G58,0)</f>
        <v>74227</v>
      </c>
      <c r="I48" s="78">
        <f>IFERROR('Data Sheet'!H58,0)</f>
        <v>73252</v>
      </c>
      <c r="J48" s="78">
        <f>IFERROR('Data Sheet'!I58,0)</f>
        <v>73338</v>
      </c>
      <c r="K48" s="78">
        <f>IFERROR('Data Sheet'!J58,0)</f>
        <v>86045</v>
      </c>
      <c r="L48" s="78">
        <f>IFERROR('Data Sheet'!K58,0)</f>
        <v>93745</v>
      </c>
      <c r="M48" s="78">
        <f>IFERROR(L48+M33,0)</f>
        <v>121748</v>
      </c>
    </row>
    <row r="49" spans="2:14" x14ac:dyDescent="0.3">
      <c r="B49" s="27" t="s">
        <v>62</v>
      </c>
      <c r="C49" s="78">
        <f>IFERROR('Data Sheet'!B59,0)</f>
        <v>0</v>
      </c>
      <c r="D49" s="78">
        <f>IFERROR('Data Sheet'!C59,0)</f>
        <v>0</v>
      </c>
      <c r="E49" s="78">
        <f>IFERROR('Data Sheet'!D59,0)</f>
        <v>0</v>
      </c>
      <c r="F49" s="78">
        <f>IFERROR('Data Sheet'!E59,0)</f>
        <v>0</v>
      </c>
      <c r="G49" s="78">
        <f>IFERROR('Data Sheet'!F59,0)</f>
        <v>4633</v>
      </c>
      <c r="H49" s="78">
        <f>IFERROR('Data Sheet'!G59,0)</f>
        <v>5325</v>
      </c>
      <c r="I49" s="78">
        <f>IFERROR('Data Sheet'!H59,0)</f>
        <v>5474</v>
      </c>
      <c r="J49" s="78">
        <f>IFERROR('Data Sheet'!I59,0)</f>
        <v>8299</v>
      </c>
      <c r="K49" s="78">
        <f>IFERROR('Data Sheet'!J59,0)</f>
        <v>8359</v>
      </c>
      <c r="L49" s="78">
        <f>IFERROR('Data Sheet'!K59,0)</f>
        <v>8227</v>
      </c>
      <c r="M49" s="78">
        <f>L49</f>
        <v>8227</v>
      </c>
    </row>
    <row r="50" spans="2:14" x14ac:dyDescent="0.3">
      <c r="B50" s="27" t="s">
        <v>63</v>
      </c>
      <c r="C50" s="78">
        <f>IFERROR('Data Sheet'!B60,0)</f>
        <v>13354</v>
      </c>
      <c r="D50" s="78">
        <f>IFERROR('Data Sheet'!C60,0)</f>
        <v>14166</v>
      </c>
      <c r="E50" s="78">
        <f>IFERROR('Data Sheet'!D60,0)</f>
        <v>14426</v>
      </c>
      <c r="F50" s="78">
        <f>IFERROR('Data Sheet'!E60,0)</f>
        <v>19118</v>
      </c>
      <c r="G50" s="78">
        <f>IFERROR('Data Sheet'!F60,0)</f>
        <v>21717</v>
      </c>
      <c r="H50" s="78">
        <f>IFERROR('Data Sheet'!G60,0)</f>
        <v>25835</v>
      </c>
      <c r="I50" s="78">
        <f>IFERROR('Data Sheet'!H60,0)</f>
        <v>35905</v>
      </c>
      <c r="J50" s="78">
        <f>IFERROR('Data Sheet'!I60,0)</f>
        <v>40890</v>
      </c>
      <c r="K50" s="78">
        <f>IFERROR('Data Sheet'!J60,0)</f>
        <v>40885</v>
      </c>
      <c r="L50" s="78">
        <f>IFERROR('Data Sheet'!K60,0)</f>
        <v>43750</v>
      </c>
      <c r="M50" s="78">
        <f>IFERROR(L50*(1+M7),0)</f>
        <v>46483.33486716976</v>
      </c>
    </row>
    <row r="51" spans="2:14" x14ac:dyDescent="0.3">
      <c r="B51" s="39" t="s">
        <v>103</v>
      </c>
      <c r="C51" s="80">
        <f>IFERROR('Data Sheet'!B61,0)</f>
        <v>75098</v>
      </c>
      <c r="D51" s="80">
        <f>IFERROR('Data Sheet'!C61,0)</f>
        <v>83148</v>
      </c>
      <c r="E51" s="80">
        <f>IFERROR('Data Sheet'!D61,0)</f>
        <v>79349</v>
      </c>
      <c r="F51" s="80">
        <f>IFERROR('Data Sheet'!E61,0)</f>
        <v>84066</v>
      </c>
      <c r="G51" s="80">
        <f>IFERROR('Data Sheet'!F61,0)</f>
        <v>91800</v>
      </c>
      <c r="H51" s="80">
        <f>IFERROR('Data Sheet'!G61,0)</f>
        <v>107511</v>
      </c>
      <c r="I51" s="80">
        <f>IFERROR('Data Sheet'!H61,0)</f>
        <v>116729</v>
      </c>
      <c r="J51" s="80">
        <f>IFERROR('Data Sheet'!I61,0)</f>
        <v>124596</v>
      </c>
      <c r="K51" s="80">
        <f>IFERROR('Data Sheet'!J61,0)</f>
        <v>137360</v>
      </c>
      <c r="L51" s="80">
        <f>IFERROR('Data Sheet'!K61,0)</f>
        <v>147795</v>
      </c>
      <c r="M51" s="80">
        <f>SUM(M47:M50)</f>
        <v>178531.33486716976</v>
      </c>
    </row>
    <row r="52" spans="2:14" x14ac:dyDescent="0.3">
      <c r="B52" s="28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spans="2:14" x14ac:dyDescent="0.3">
      <c r="B53" s="27" t="s">
        <v>104</v>
      </c>
      <c r="C53" s="78">
        <f>IFERROR('Data Sheet'!B62,0)</f>
        <v>13386</v>
      </c>
      <c r="D53" s="78">
        <f>IFERROR('Data Sheet'!C62,0)</f>
        <v>14179</v>
      </c>
      <c r="E53" s="78">
        <f>IFERROR('Data Sheet'!D62,0)</f>
        <v>12574</v>
      </c>
      <c r="F53" s="78">
        <f>IFERROR('Data Sheet'!E62,0)</f>
        <v>15710</v>
      </c>
      <c r="G53" s="78">
        <f>IFERROR('Data Sheet'!F62,0)</f>
        <v>23789</v>
      </c>
      <c r="H53" s="78">
        <f>IFERROR('Data Sheet'!G62,0)</f>
        <v>25505</v>
      </c>
      <c r="I53" s="78">
        <f>IFERROR('Data Sheet'!H62,0)</f>
        <v>25800</v>
      </c>
      <c r="J53" s="78">
        <f>IFERROR('Data Sheet'!I62,0)</f>
        <v>29225</v>
      </c>
      <c r="K53" s="78">
        <f>IFERROR('Data Sheet'!J62,0)</f>
        <v>27622</v>
      </c>
      <c r="L53" s="78">
        <f>IFERROR('Data Sheet'!K62,0)</f>
        <v>30961</v>
      </c>
      <c r="M53" s="57"/>
    </row>
    <row r="54" spans="2:14" x14ac:dyDescent="0.3">
      <c r="B54" s="27" t="s">
        <v>28</v>
      </c>
      <c r="C54" s="78">
        <f>IFERROR('Data Sheet'!B63,0)</f>
        <v>960</v>
      </c>
      <c r="D54" s="78">
        <f>IFERROR('Data Sheet'!C63,0)</f>
        <v>1365</v>
      </c>
      <c r="E54" s="78">
        <f>IFERROR('Data Sheet'!D63,0)</f>
        <v>1606</v>
      </c>
      <c r="F54" s="78">
        <f>IFERROR('Data Sheet'!E63,0)</f>
        <v>1388</v>
      </c>
      <c r="G54" s="78">
        <f>IFERROR('Data Sheet'!F63,0)</f>
        <v>954</v>
      </c>
      <c r="H54" s="78">
        <f>IFERROR('Data Sheet'!G63,0)</f>
        <v>922</v>
      </c>
      <c r="I54" s="78">
        <f>IFERROR('Data Sheet'!H63,0)</f>
        <v>416</v>
      </c>
      <c r="J54" s="78">
        <f>IFERROR('Data Sheet'!I63,0)</f>
        <v>288</v>
      </c>
      <c r="K54" s="78">
        <f>IFERROR('Data Sheet'!J63,0)</f>
        <v>293</v>
      </c>
      <c r="L54" s="78">
        <f>IFERROR('Data Sheet'!K63,0)</f>
        <v>814</v>
      </c>
      <c r="M54" s="57"/>
    </row>
    <row r="55" spans="2:14" x14ac:dyDescent="0.3">
      <c r="B55" s="27" t="s">
        <v>29</v>
      </c>
      <c r="C55" s="78">
        <f>IFERROR('Data Sheet'!B64,0)</f>
        <v>1892</v>
      </c>
      <c r="D55" s="78">
        <f>IFERROR('Data Sheet'!C64,0)</f>
        <v>16423</v>
      </c>
      <c r="E55" s="78">
        <f>IFERROR('Data Sheet'!D64,0)</f>
        <v>12163</v>
      </c>
      <c r="F55" s="78">
        <f>IFERROR('Data Sheet'!E64,0)</f>
        <v>11261</v>
      </c>
      <c r="G55" s="78">
        <f>IFERROR('Data Sheet'!F64,0)</f>
        <v>8792</v>
      </c>
      <c r="H55" s="78">
        <f>IFERROR('Data Sheet'!G64,0)</f>
        <v>14205</v>
      </c>
      <c r="I55" s="78">
        <f>IFERROR('Data Sheet'!H64,0)</f>
        <v>20324</v>
      </c>
      <c r="J55" s="78">
        <f>IFERROR('Data Sheet'!I64,0)</f>
        <v>19478</v>
      </c>
      <c r="K55" s="78">
        <f>IFERROR('Data Sheet'!J64,0)</f>
        <v>24623</v>
      </c>
      <c r="L55" s="78">
        <f>IFERROR('Data Sheet'!K64,0)</f>
        <v>23541</v>
      </c>
      <c r="M55" s="57"/>
    </row>
    <row r="56" spans="2:14" x14ac:dyDescent="0.3">
      <c r="B56" s="27" t="s">
        <v>64</v>
      </c>
      <c r="C56" s="78">
        <f>IFERROR('Data Sheet'!B65-SUM('Data Sheet'!B67:B69),0)</f>
        <v>14833</v>
      </c>
      <c r="D56" s="78">
        <f>IFERROR('Data Sheet'!C65-SUM('Data Sheet'!C67:C69),0)</f>
        <v>16234</v>
      </c>
      <c r="E56" s="78">
        <f>IFERROR('Data Sheet'!D65-SUM('Data Sheet'!D67:D69),0)</f>
        <v>20046</v>
      </c>
      <c r="F56" s="78">
        <f>IFERROR('Data Sheet'!E65-SUM('Data Sheet'!E67:E69),0)</f>
        <v>21312</v>
      </c>
      <c r="G56" s="78">
        <f>IFERROR('Data Sheet'!F65-SUM('Data Sheet'!F67:F69),0)</f>
        <v>21129</v>
      </c>
      <c r="H56" s="78">
        <f>IFERROR('Data Sheet'!G65-SUM('Data Sheet'!G67:G69),0)</f>
        <v>22871</v>
      </c>
      <c r="I56" s="78">
        <f>IFERROR('Data Sheet'!H65-SUM('Data Sheet'!H67:H69),0)</f>
        <v>30019</v>
      </c>
      <c r="J56" s="78">
        <f>IFERROR('Data Sheet'!I65-SUM('Data Sheet'!I67:I69),0)</f>
        <v>38008</v>
      </c>
      <c r="K56" s="78">
        <f>IFERROR('Data Sheet'!J65-SUM('Data Sheet'!J67:J69),0)</f>
        <v>39843</v>
      </c>
      <c r="L56" s="78">
        <f>IFERROR('Data Sheet'!K65-SUM('Data Sheet'!K67:K69),0)</f>
        <v>36866</v>
      </c>
      <c r="M56" s="57"/>
      <c r="N56" s="22"/>
    </row>
    <row r="57" spans="2:14" x14ac:dyDescent="0.3">
      <c r="B57" s="39" t="s">
        <v>105</v>
      </c>
      <c r="C57" s="80">
        <f>SUM(C53:C56)</f>
        <v>31071</v>
      </c>
      <c r="D57" s="80">
        <f t="shared" ref="D57:K57" si="18">SUM(D53:D56)</f>
        <v>48201</v>
      </c>
      <c r="E57" s="80">
        <f t="shared" si="18"/>
        <v>46389</v>
      </c>
      <c r="F57" s="80">
        <f t="shared" si="18"/>
        <v>49671</v>
      </c>
      <c r="G57" s="80">
        <f t="shared" si="18"/>
        <v>54664</v>
      </c>
      <c r="H57" s="80">
        <f t="shared" si="18"/>
        <v>63503</v>
      </c>
      <c r="I57" s="80">
        <f t="shared" si="18"/>
        <v>76559</v>
      </c>
      <c r="J57" s="80">
        <f t="shared" si="18"/>
        <v>86999</v>
      </c>
      <c r="K57" s="80">
        <f t="shared" si="18"/>
        <v>92381</v>
      </c>
      <c r="L57" s="80">
        <f>SUM(L53:L56)</f>
        <v>92182</v>
      </c>
      <c r="M57" s="80"/>
    </row>
    <row r="58" spans="2:14" x14ac:dyDescent="0.3">
      <c r="B58" s="28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</row>
    <row r="59" spans="2:14" x14ac:dyDescent="0.3">
      <c r="B59" s="27" t="s">
        <v>69</v>
      </c>
      <c r="C59" s="78">
        <f>IFERROR('Data Sheet'!B67,0)</f>
        <v>11330</v>
      </c>
      <c r="D59" s="78">
        <f>IFERROR('Data Sheet'!C67,0)</f>
        <v>12322</v>
      </c>
      <c r="E59" s="78">
        <f>IFERROR('Data Sheet'!D67,0)</f>
        <v>13142</v>
      </c>
      <c r="F59" s="78">
        <f>IFERROR('Data Sheet'!E67,0)</f>
        <v>14827</v>
      </c>
      <c r="G59" s="78">
        <f>IFERROR('Data Sheet'!F67,0)</f>
        <v>18487</v>
      </c>
      <c r="H59" s="78">
        <f>IFERROR('Data Sheet'!G67,0)</f>
        <v>19294</v>
      </c>
      <c r="I59" s="78">
        <f>IFERROR('Data Sheet'!H67,0)</f>
        <v>22698</v>
      </c>
      <c r="J59" s="78">
        <f>IFERROR('Data Sheet'!I67,0)</f>
        <v>25424</v>
      </c>
      <c r="K59" s="78">
        <f>IFERROR('Data Sheet'!J67,0)</f>
        <v>30193</v>
      </c>
      <c r="L59" s="78">
        <f>IFERROR('Data Sheet'!K67,0)</f>
        <v>31158</v>
      </c>
      <c r="M59" s="57"/>
      <c r="N59" s="22"/>
    </row>
    <row r="60" spans="2:14" x14ac:dyDescent="0.3">
      <c r="B60" s="27" t="s">
        <v>45</v>
      </c>
      <c r="C60" s="78">
        <f>IFERROR('Data Sheet'!B68,0)</f>
        <v>0</v>
      </c>
      <c r="D60" s="78">
        <f>IFERROR('Data Sheet'!C68,0)</f>
        <v>0</v>
      </c>
      <c r="E60" s="78">
        <f>IFERROR('Data Sheet'!D68,0)</f>
        <v>0</v>
      </c>
      <c r="F60" s="78">
        <f>IFERROR('Data Sheet'!E68,0)</f>
        <v>0</v>
      </c>
      <c r="G60" s="78">
        <f>IFERROR('Data Sheet'!F68,0)</f>
        <v>0</v>
      </c>
      <c r="H60" s="78">
        <f>IFERROR('Data Sheet'!G68,0)</f>
        <v>0</v>
      </c>
      <c r="I60" s="78">
        <f>IFERROR('Data Sheet'!H68,0)</f>
        <v>0</v>
      </c>
      <c r="J60" s="78">
        <f>IFERROR('Data Sheet'!I68,0)</f>
        <v>0</v>
      </c>
      <c r="K60" s="78">
        <f>IFERROR('Data Sheet'!J68,0)</f>
        <v>0</v>
      </c>
      <c r="L60" s="78">
        <f>IFERROR('Data Sheet'!K68,0)</f>
        <v>0</v>
      </c>
      <c r="M60" s="57"/>
      <c r="N60" s="22"/>
    </row>
    <row r="61" spans="2:14" x14ac:dyDescent="0.3">
      <c r="B61" s="27" t="s">
        <v>78</v>
      </c>
      <c r="C61" s="78">
        <f>IFERROR('Data Sheet'!B69,0)</f>
        <v>32697</v>
      </c>
      <c r="D61" s="78">
        <f>IFERROR('Data Sheet'!C69,0)</f>
        <v>22625</v>
      </c>
      <c r="E61" s="78">
        <f>IFERROR('Data Sheet'!D69,0)</f>
        <v>19818</v>
      </c>
      <c r="F61" s="78">
        <f>IFERROR('Data Sheet'!E69,0)</f>
        <v>19568</v>
      </c>
      <c r="G61" s="78">
        <f>IFERROR('Data Sheet'!F69,0)</f>
        <v>18649</v>
      </c>
      <c r="H61" s="78">
        <f>IFERROR('Data Sheet'!G69,0)</f>
        <v>24714</v>
      </c>
      <c r="I61" s="78">
        <f>IFERROR('Data Sheet'!H69,0)</f>
        <v>17472</v>
      </c>
      <c r="J61" s="78">
        <f>IFERROR('Data Sheet'!I69,0)</f>
        <v>12173</v>
      </c>
      <c r="K61" s="78">
        <f>IFERROR('Data Sheet'!J69,0)</f>
        <v>14786</v>
      </c>
      <c r="L61" s="78">
        <f>IFERROR('Data Sheet'!K69,0)</f>
        <v>24455</v>
      </c>
      <c r="M61" s="57"/>
    </row>
    <row r="62" spans="2:14" x14ac:dyDescent="0.3">
      <c r="B62" s="39" t="s">
        <v>106</v>
      </c>
      <c r="C62" s="80">
        <f>SUM(C59:C61)</f>
        <v>44027</v>
      </c>
      <c r="D62" s="80">
        <f t="shared" ref="D62:K62" si="19">SUM(D59:D61)</f>
        <v>34947</v>
      </c>
      <c r="E62" s="80">
        <f t="shared" si="19"/>
        <v>32960</v>
      </c>
      <c r="F62" s="80">
        <f t="shared" si="19"/>
        <v>34395</v>
      </c>
      <c r="G62" s="80">
        <f t="shared" si="19"/>
        <v>37136</v>
      </c>
      <c r="H62" s="80">
        <f t="shared" si="19"/>
        <v>44008</v>
      </c>
      <c r="I62" s="80">
        <f t="shared" si="19"/>
        <v>40170</v>
      </c>
      <c r="J62" s="80">
        <f t="shared" si="19"/>
        <v>37597</v>
      </c>
      <c r="K62" s="80">
        <f t="shared" si="19"/>
        <v>44979</v>
      </c>
      <c r="L62" s="80">
        <f>SUM(L59:L61)</f>
        <v>55613</v>
      </c>
      <c r="M62" s="80"/>
    </row>
    <row r="63" spans="2:14" x14ac:dyDescent="0.3">
      <c r="B63" s="38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57"/>
    </row>
    <row r="64" spans="2:14" x14ac:dyDescent="0.3">
      <c r="B64" s="39" t="s">
        <v>107</v>
      </c>
      <c r="C64" s="80">
        <f>SUM(C57+C62)</f>
        <v>75098</v>
      </c>
      <c r="D64" s="80">
        <f t="shared" ref="D64:K64" si="20">SUM(D57+D62)</f>
        <v>83148</v>
      </c>
      <c r="E64" s="80">
        <f t="shared" si="20"/>
        <v>79349</v>
      </c>
      <c r="F64" s="80">
        <f t="shared" si="20"/>
        <v>84066</v>
      </c>
      <c r="G64" s="80">
        <f t="shared" si="20"/>
        <v>91800</v>
      </c>
      <c r="H64" s="80">
        <f t="shared" si="20"/>
        <v>107511</v>
      </c>
      <c r="I64" s="80">
        <f t="shared" si="20"/>
        <v>116729</v>
      </c>
      <c r="J64" s="80">
        <f t="shared" si="20"/>
        <v>124596</v>
      </c>
      <c r="K64" s="80">
        <f t="shared" si="20"/>
        <v>137360</v>
      </c>
      <c r="L64" s="80">
        <f>SUM(L57+L62)</f>
        <v>147795</v>
      </c>
      <c r="M64" s="80"/>
    </row>
    <row r="65" spans="1:13" x14ac:dyDescent="0.3"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</row>
    <row r="66" spans="1:13" x14ac:dyDescent="0.3">
      <c r="B66" t="s">
        <v>109</v>
      </c>
      <c r="C66" s="57" t="b">
        <f>C64=C51</f>
        <v>1</v>
      </c>
      <c r="D66" s="57" t="b">
        <f t="shared" ref="D66:K66" si="21">D64=D51</f>
        <v>1</v>
      </c>
      <c r="E66" s="57" t="b">
        <f t="shared" si="21"/>
        <v>1</v>
      </c>
      <c r="F66" s="57" t="b">
        <f t="shared" si="21"/>
        <v>1</v>
      </c>
      <c r="G66" s="57" t="b">
        <f t="shared" si="21"/>
        <v>1</v>
      </c>
      <c r="H66" s="57" t="b">
        <f t="shared" si="21"/>
        <v>1</v>
      </c>
      <c r="I66" s="57" t="b">
        <f t="shared" si="21"/>
        <v>1</v>
      </c>
      <c r="J66" s="57" t="b">
        <f t="shared" si="21"/>
        <v>1</v>
      </c>
      <c r="K66" s="57" t="b">
        <f t="shared" si="21"/>
        <v>1</v>
      </c>
      <c r="L66" s="57" t="s">
        <v>128</v>
      </c>
      <c r="M66" s="57"/>
    </row>
    <row r="67" spans="1:13" x14ac:dyDescent="0.3"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</row>
    <row r="68" spans="1:13" x14ac:dyDescent="0.3">
      <c r="A68" s="60" t="s">
        <v>83</v>
      </c>
      <c r="B68" s="29" t="s">
        <v>129</v>
      </c>
      <c r="C68" s="84"/>
      <c r="D68" s="77"/>
      <c r="E68" s="77"/>
      <c r="F68" s="77"/>
      <c r="G68" s="77"/>
      <c r="H68" s="77"/>
      <c r="I68" s="77"/>
      <c r="J68" s="77"/>
      <c r="K68" s="77"/>
      <c r="L68" s="77"/>
      <c r="M68" s="77"/>
    </row>
    <row r="69" spans="1:13" x14ac:dyDescent="0.3">
      <c r="B69" s="2" t="s">
        <v>130</v>
      </c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</row>
    <row r="70" spans="1:13" x14ac:dyDescent="0.3">
      <c r="B70" t="s">
        <v>110</v>
      </c>
      <c r="C70" s="78">
        <f>IFERROR('Cashflow Data'!C3,0)</f>
        <v>17839</v>
      </c>
      <c r="D70" s="78">
        <f>IFERROR('Cashflow Data'!D3,0)</f>
        <v>19340</v>
      </c>
      <c r="E70" s="78">
        <f>IFERROR('Cashflow Data'!E3,0)</f>
        <v>19963</v>
      </c>
      <c r="F70" s="78">
        <f>IFERROR('Cashflow Data'!F3,0)</f>
        <v>22126</v>
      </c>
      <c r="G70" s="78">
        <f>IFERROR('Cashflow Data'!G3,0)</f>
        <v>23920</v>
      </c>
      <c r="H70" s="78">
        <f>IFERROR('Cashflow Data'!H3,0)</f>
        <v>28845</v>
      </c>
      <c r="I70" s="78">
        <f>IFERROR('Cashflow Data'!I3,0)</f>
        <v>32921</v>
      </c>
      <c r="J70" s="78">
        <f>IFERROR('Cashflow Data'!J3,0)</f>
        <v>37605</v>
      </c>
      <c r="K70" s="78">
        <f>IFERROR('Cashflow Data'!K3,0)</f>
        <v>39523</v>
      </c>
      <c r="L70" s="78">
        <f>IFERROR('Cashflow Data'!L3,0)</f>
        <v>41591</v>
      </c>
      <c r="M70" s="57"/>
    </row>
    <row r="71" spans="1:13" x14ac:dyDescent="0.3">
      <c r="B71" t="s">
        <v>69</v>
      </c>
      <c r="C71" s="78">
        <f>IFERROR('Cashflow Data'!C4,0)</f>
        <v>-1654</v>
      </c>
      <c r="D71" s="78">
        <f>IFERROR('Cashflow Data'!D4,0)</f>
        <v>-1743</v>
      </c>
      <c r="E71" s="78">
        <f>IFERROR('Cashflow Data'!E4,0)</f>
        <v>-1523</v>
      </c>
      <c r="F71" s="78">
        <f>IFERROR('Cashflow Data'!F4,0)</f>
        <v>-2881</v>
      </c>
      <c r="G71" s="78">
        <f>IFERROR('Cashflow Data'!G4,0)</f>
        <v>-3861</v>
      </c>
      <c r="H71" s="78">
        <f>IFERROR('Cashflow Data'!H4,0)</f>
        <v>-1835</v>
      </c>
      <c r="I71" s="78">
        <f>IFERROR('Cashflow Data'!I4,0)</f>
        <v>-7937</v>
      </c>
      <c r="J71" s="78">
        <f>IFERROR('Cashflow Data'!J4,0)</f>
        <v>-7076</v>
      </c>
      <c r="K71" s="78">
        <f>IFERROR('Cashflow Data'!K4,0)</f>
        <v>-2667</v>
      </c>
      <c r="L71" s="78">
        <f>IFERROR('Cashflow Data'!L4,0)</f>
        <v>-1769</v>
      </c>
      <c r="M71" s="57"/>
    </row>
    <row r="72" spans="1:13" x14ac:dyDescent="0.3">
      <c r="B72" t="s">
        <v>45</v>
      </c>
      <c r="C72" s="78">
        <f>IFERROR('Cashflow Data'!C5,0)</f>
        <v>242</v>
      </c>
      <c r="D72" s="78">
        <f>IFERROR('Cashflow Data'!D5,0)</f>
        <v>-19</v>
      </c>
      <c r="E72" s="78">
        <f>IFERROR('Cashflow Data'!E5,0)</f>
        <v>328</v>
      </c>
      <c r="F72" s="78">
        <f>IFERROR('Cashflow Data'!F5,0)</f>
        <v>916</v>
      </c>
      <c r="G72" s="78">
        <f>IFERROR('Cashflow Data'!G5,0)</f>
        <v>-373</v>
      </c>
      <c r="H72" s="78">
        <f>IFERROR('Cashflow Data'!H5,0)</f>
        <v>-245</v>
      </c>
      <c r="I72" s="78">
        <f>IFERROR('Cashflow Data'!I5,0)</f>
        <v>1489</v>
      </c>
      <c r="J72" s="78">
        <f>IFERROR('Cashflow Data'!J5,0)</f>
        <v>-279</v>
      </c>
      <c r="K72" s="78">
        <f>IFERROR('Cashflow Data'!K5,0)</f>
        <v>91</v>
      </c>
      <c r="L72" s="78">
        <f>IFERROR('Cashflow Data'!L5,0)</f>
        <v>176</v>
      </c>
      <c r="M72" s="57"/>
    </row>
    <row r="73" spans="1:13" x14ac:dyDescent="0.3">
      <c r="B73" t="s">
        <v>111</v>
      </c>
      <c r="C73" s="78">
        <f>IFERROR('Cashflow Data'!C6,0)</f>
        <v>-1134</v>
      </c>
      <c r="D73" s="78">
        <f>IFERROR('Cashflow Data'!D6,0)</f>
        <v>0</v>
      </c>
      <c r="E73" s="78">
        <f>IFERROR('Cashflow Data'!E6,0)</f>
        <v>0</v>
      </c>
      <c r="F73" s="78">
        <f>IFERROR('Cashflow Data'!F6,0)</f>
        <v>0</v>
      </c>
      <c r="G73" s="78">
        <f>IFERROR('Cashflow Data'!G6,0)</f>
        <v>0</v>
      </c>
      <c r="H73" s="78">
        <f>IFERROR('Cashflow Data'!H6,0)</f>
        <v>-534</v>
      </c>
      <c r="I73" s="78">
        <f>IFERROR('Cashflow Data'!I6,0)</f>
        <v>-1914</v>
      </c>
      <c r="J73" s="78">
        <f>IFERROR('Cashflow Data'!J6,0)</f>
        <v>-3108</v>
      </c>
      <c r="K73" s="78">
        <f>IFERROR('Cashflow Data'!K6,0)</f>
        <v>-1172</v>
      </c>
      <c r="L73" s="78">
        <f>IFERROR('Cashflow Data'!L6,0)</f>
        <v>-1024</v>
      </c>
      <c r="M73" s="57"/>
    </row>
    <row r="74" spans="1:13" x14ac:dyDescent="0.3">
      <c r="B74" t="s">
        <v>112</v>
      </c>
      <c r="C74" s="78">
        <f>IFERROR('Cashflow Data'!C7,0)</f>
        <v>600</v>
      </c>
      <c r="D74" s="78">
        <f>IFERROR('Cashflow Data'!D7,0)</f>
        <v>-394</v>
      </c>
      <c r="E74" s="78">
        <f>IFERROR('Cashflow Data'!E7,0)</f>
        <v>1279</v>
      </c>
      <c r="F74" s="78">
        <f>IFERROR('Cashflow Data'!F7,0)</f>
        <v>1512</v>
      </c>
      <c r="G74" s="78">
        <f>IFERROR('Cashflow Data'!G7,0)</f>
        <v>1867</v>
      </c>
      <c r="H74" s="78">
        <f>IFERROR('Cashflow Data'!H7,0)</f>
        <v>3382</v>
      </c>
      <c r="I74" s="78">
        <f>IFERROR('Cashflow Data'!I7,0)</f>
        <v>6938</v>
      </c>
      <c r="J74" s="78">
        <f>IFERROR('Cashflow Data'!J7,0)</f>
        <v>4119</v>
      </c>
      <c r="K74" s="78">
        <f>IFERROR('Cashflow Data'!K7,0)</f>
        <v>-1334</v>
      </c>
      <c r="L74" s="78">
        <f>IFERROR('Cashflow Data'!L7,0)</f>
        <v>2322</v>
      </c>
      <c r="M74" s="57"/>
    </row>
    <row r="75" spans="1:13" x14ac:dyDescent="0.3">
      <c r="B75" t="s">
        <v>113</v>
      </c>
      <c r="C75" s="78">
        <f>IFERROR('Cashflow Data'!C8,0)</f>
        <v>-1946</v>
      </c>
      <c r="D75" s="78">
        <f>IFERROR('Cashflow Data'!D8,0)</f>
        <v>-2156</v>
      </c>
      <c r="E75" s="78">
        <f>IFERROR('Cashflow Data'!E8,0)</f>
        <v>84</v>
      </c>
      <c r="F75" s="78">
        <f>IFERROR('Cashflow Data'!F8,0)</f>
        <v>-453</v>
      </c>
      <c r="G75" s="78">
        <f>IFERROR('Cashflow Data'!G8,0)</f>
        <v>-2367</v>
      </c>
      <c r="H75" s="78">
        <f>IFERROR('Cashflow Data'!H8,0)</f>
        <v>768</v>
      </c>
      <c r="I75" s="78">
        <f>IFERROR('Cashflow Data'!I8,0)</f>
        <v>-1424</v>
      </c>
      <c r="J75" s="78">
        <f>IFERROR('Cashflow Data'!J8,0)</f>
        <v>-6344</v>
      </c>
      <c r="K75" s="78">
        <f>IFERROR('Cashflow Data'!K8,0)</f>
        <v>-5082</v>
      </c>
      <c r="L75" s="78">
        <f>IFERROR('Cashflow Data'!L8,0)</f>
        <v>-295</v>
      </c>
      <c r="M75" s="57"/>
    </row>
    <row r="76" spans="1:13" x14ac:dyDescent="0.3">
      <c r="B76" t="s">
        <v>114</v>
      </c>
      <c r="C76" s="78">
        <f>IFERROR('Cashflow Data'!C9,0)</f>
        <v>-5865</v>
      </c>
      <c r="D76" s="78">
        <f>IFERROR('Cashflow Data'!D9,0)</f>
        <v>-5653</v>
      </c>
      <c r="E76" s="78">
        <f>IFERROR('Cashflow Data'!E9,0)</f>
        <v>-6829</v>
      </c>
      <c r="F76" s="78">
        <f>IFERROR('Cashflow Data'!F9,0)</f>
        <v>-6832</v>
      </c>
      <c r="G76" s="78">
        <f>IFERROR('Cashflow Data'!G9,0)</f>
        <v>-4550</v>
      </c>
      <c r="H76" s="78">
        <f>IFERROR('Cashflow Data'!H9,0)</f>
        <v>-6389</v>
      </c>
      <c r="I76" s="78">
        <f>IFERROR('Cashflow Data'!I9,0)</f>
        <v>-7612</v>
      </c>
      <c r="J76" s="78">
        <f>IFERROR('Cashflow Data'!J9,0)</f>
        <v>-8794</v>
      </c>
      <c r="K76" s="78">
        <f>IFERROR('Cashflow Data'!K9,0)</f>
        <v>-9231</v>
      </c>
      <c r="L76" s="78">
        <f>IFERROR('Cashflow Data'!L9,0)</f>
        <v>-5602</v>
      </c>
      <c r="M76" s="57"/>
    </row>
    <row r="77" spans="1:13" x14ac:dyDescent="0.3">
      <c r="B77" t="s">
        <v>115</v>
      </c>
      <c r="C77" s="78">
        <f>IFERROR('Cashflow Data'!C10,0)</f>
        <v>-885</v>
      </c>
      <c r="D77" s="78">
        <f>IFERROR('Cashflow Data'!D10,0)</f>
        <v>-14664</v>
      </c>
      <c r="E77" s="78">
        <f>IFERROR('Cashflow Data'!E10,0)</f>
        <v>4533</v>
      </c>
      <c r="F77" s="78">
        <f>IFERROR('Cashflow Data'!F10,0)</f>
        <v>-632</v>
      </c>
      <c r="G77" s="78">
        <f>IFERROR('Cashflow Data'!G10,0)</f>
        <v>-331</v>
      </c>
      <c r="H77" s="78">
        <f>IFERROR('Cashflow Data'!H10,0)</f>
        <v>-7373</v>
      </c>
      <c r="I77" s="78">
        <f>IFERROR('Cashflow Data'!I10,0)</f>
        <v>-6485</v>
      </c>
      <c r="J77" s="78">
        <f>IFERROR('Cashflow Data'!J10,0)</f>
        <v>-1071</v>
      </c>
      <c r="K77" s="78">
        <f>IFERROR('Cashflow Data'!K10,0)</f>
        <v>-5093</v>
      </c>
      <c r="L77" s="78">
        <f>IFERROR('Cashflow Data'!L10,0)</f>
        <v>-1864</v>
      </c>
      <c r="M77" s="57"/>
    </row>
    <row r="78" spans="1:13" x14ac:dyDescent="0.3">
      <c r="B78" s="86" t="s">
        <v>131</v>
      </c>
      <c r="C78" s="87">
        <f>SUM(C70:C77)</f>
        <v>7197</v>
      </c>
      <c r="D78" s="87">
        <f t="shared" ref="D78:L78" si="22">SUM(D70:D77)</f>
        <v>-5289</v>
      </c>
      <c r="E78" s="87">
        <f t="shared" si="22"/>
        <v>17835</v>
      </c>
      <c r="F78" s="87">
        <f t="shared" si="22"/>
        <v>13756</v>
      </c>
      <c r="G78" s="87">
        <f t="shared" si="22"/>
        <v>14305</v>
      </c>
      <c r="H78" s="87">
        <f t="shared" si="22"/>
        <v>16619</v>
      </c>
      <c r="I78" s="87">
        <f t="shared" si="22"/>
        <v>15976</v>
      </c>
      <c r="J78" s="87">
        <f t="shared" si="22"/>
        <v>15052</v>
      </c>
      <c r="K78" s="87">
        <f t="shared" si="22"/>
        <v>15035</v>
      </c>
      <c r="L78" s="87">
        <f t="shared" si="22"/>
        <v>33535</v>
      </c>
      <c r="M78" s="57"/>
    </row>
    <row r="79" spans="1:13" x14ac:dyDescent="0.3"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spans="1:13" x14ac:dyDescent="0.3">
      <c r="B80" s="2" t="s">
        <v>132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</row>
    <row r="81" spans="2:13" x14ac:dyDescent="0.3">
      <c r="B81" t="s">
        <v>116</v>
      </c>
      <c r="C81" s="78">
        <f>IFERROR('Cashflow Data'!C11,0)</f>
        <v>-2723</v>
      </c>
      <c r="D81" s="78">
        <f>IFERROR('Cashflow Data'!D11,0)</f>
        <v>-2760</v>
      </c>
      <c r="E81" s="78">
        <f>IFERROR('Cashflow Data'!E11,0)</f>
        <v>-1998</v>
      </c>
      <c r="F81" s="78">
        <f>IFERROR('Cashflow Data'!F11,0)</f>
        <v>-2445</v>
      </c>
      <c r="G81" s="78">
        <f>IFERROR('Cashflow Data'!G11,0)</f>
        <v>-3307</v>
      </c>
      <c r="H81" s="78">
        <f>IFERROR('Cashflow Data'!H11,0)</f>
        <v>-2107</v>
      </c>
      <c r="I81" s="78">
        <f>IFERROR('Cashflow Data'!I11,0)</f>
        <v>-2161</v>
      </c>
      <c r="J81" s="78">
        <f>IFERROR('Cashflow Data'!J11,0)</f>
        <v>-2579</v>
      </c>
      <c r="K81" s="78">
        <f>IFERROR('Cashflow Data'!K11,0)</f>
        <v>-2201</v>
      </c>
      <c r="L81" s="78">
        <f>IFERROR('Cashflow Data'!L11,0)</f>
        <v>-2237</v>
      </c>
      <c r="M81" s="57"/>
    </row>
    <row r="82" spans="2:13" x14ac:dyDescent="0.3">
      <c r="B82" t="s">
        <v>117</v>
      </c>
      <c r="C82" s="78">
        <f>IFERROR('Cashflow Data'!C12,0)</f>
        <v>0</v>
      </c>
      <c r="D82" s="78">
        <f>IFERROR('Cashflow Data'!D12,0)</f>
        <v>0</v>
      </c>
      <c r="E82" s="78">
        <f>IFERROR('Cashflow Data'!E12,0)</f>
        <v>0</v>
      </c>
      <c r="F82" s="78">
        <f>IFERROR('Cashflow Data'!F12,0)</f>
        <v>0</v>
      </c>
      <c r="G82" s="78">
        <f>IFERROR('Cashflow Data'!G12,0)</f>
        <v>0</v>
      </c>
      <c r="H82" s="78">
        <f>IFERROR('Cashflow Data'!H12,0)</f>
        <v>0</v>
      </c>
      <c r="I82" s="78">
        <f>IFERROR('Cashflow Data'!I12,0)</f>
        <v>0</v>
      </c>
      <c r="J82" s="78">
        <f>IFERROR('Cashflow Data'!J12,0)</f>
        <v>0</v>
      </c>
      <c r="K82" s="78">
        <f>IFERROR('Cashflow Data'!K12,0)</f>
        <v>0</v>
      </c>
      <c r="L82" s="78">
        <f>IFERROR('Cashflow Data'!L12,0)</f>
        <v>0</v>
      </c>
      <c r="M82" s="57"/>
    </row>
    <row r="83" spans="2:13" x14ac:dyDescent="0.3">
      <c r="B83" t="s">
        <v>118</v>
      </c>
      <c r="C83" s="78">
        <f>IFERROR('Cashflow Data'!C13,0)</f>
        <v>-24577</v>
      </c>
      <c r="D83" s="78">
        <f>IFERROR('Cashflow Data'!D13,0)</f>
        <v>-66410</v>
      </c>
      <c r="E83" s="78">
        <f>IFERROR('Cashflow Data'!E13,0)</f>
        <v>-69159</v>
      </c>
      <c r="F83" s="78">
        <f>IFERROR('Cashflow Data'!F13,0)</f>
        <v>-79410</v>
      </c>
      <c r="G83" s="78">
        <f>IFERROR('Cashflow Data'!G13,0)</f>
        <v>-37482</v>
      </c>
      <c r="H83" s="78">
        <f>IFERROR('Cashflow Data'!H13,0)</f>
        <v>-46738</v>
      </c>
      <c r="I83" s="78">
        <f>IFERROR('Cashflow Data'!I13,0)</f>
        <v>-59951</v>
      </c>
      <c r="J83" s="78">
        <f>IFERROR('Cashflow Data'!J13,0)</f>
        <v>-75800</v>
      </c>
      <c r="K83" s="78">
        <f>IFERROR('Cashflow Data'!K13,0)</f>
        <v>-78118</v>
      </c>
      <c r="L83" s="78">
        <f>IFERROR('Cashflow Data'!L13,0)</f>
        <v>-82753</v>
      </c>
      <c r="M83" s="57"/>
    </row>
    <row r="84" spans="2:13" x14ac:dyDescent="0.3">
      <c r="B84" t="s">
        <v>119</v>
      </c>
      <c r="C84" s="78">
        <f>IFERROR('Cashflow Data'!C14,0)</f>
        <v>24980</v>
      </c>
      <c r="D84" s="78">
        <f>IFERROR('Cashflow Data'!D14,0)</f>
        <v>52048</v>
      </c>
      <c r="E84" s="78">
        <f>IFERROR('Cashflow Data'!E14,0)</f>
        <v>74003</v>
      </c>
      <c r="F84" s="78">
        <f>IFERROR('Cashflow Data'!F14,0)</f>
        <v>78098</v>
      </c>
      <c r="G84" s="78">
        <f>IFERROR('Cashflow Data'!G14,0)</f>
        <v>38861</v>
      </c>
      <c r="H84" s="78">
        <f>IFERROR('Cashflow Data'!H14,0)</f>
        <v>40381</v>
      </c>
      <c r="I84" s="78">
        <f>IFERROR('Cashflow Data'!I14,0)</f>
        <v>57356</v>
      </c>
      <c r="J84" s="78">
        <f>IFERROR('Cashflow Data'!J14,0)</f>
        <v>76722</v>
      </c>
      <c r="K84" s="78">
        <f>IFERROR('Cashflow Data'!K14,0)</f>
        <v>72956</v>
      </c>
      <c r="L84" s="78">
        <f>IFERROR('Cashflow Data'!L14,0)</f>
        <v>84888</v>
      </c>
      <c r="M84" s="57"/>
    </row>
    <row r="85" spans="2:13" x14ac:dyDescent="0.3">
      <c r="B85" t="s">
        <v>120</v>
      </c>
      <c r="C85" s="78">
        <f>IFERROR('Cashflow Data'!C15,0)</f>
        <v>2383</v>
      </c>
      <c r="D85" s="78">
        <f>IFERROR('Cashflow Data'!D15,0)</f>
        <v>0</v>
      </c>
      <c r="E85" s="78">
        <f>IFERROR('Cashflow Data'!E15,0)</f>
        <v>0</v>
      </c>
      <c r="F85" s="78">
        <f>IFERROR('Cashflow Data'!F15,0)</f>
        <v>0</v>
      </c>
      <c r="G85" s="78">
        <f>IFERROR('Cashflow Data'!G15,0)</f>
        <v>0</v>
      </c>
      <c r="H85" s="78">
        <f>IFERROR('Cashflow Data'!H15,0)</f>
        <v>0</v>
      </c>
      <c r="I85" s="78">
        <f>IFERROR('Cashflow Data'!I15,0)</f>
        <v>0</v>
      </c>
      <c r="J85" s="78">
        <f>IFERROR('Cashflow Data'!J15,0)</f>
        <v>0</v>
      </c>
      <c r="K85" s="78">
        <f>IFERROR('Cashflow Data'!K15,0)</f>
        <v>0</v>
      </c>
      <c r="L85" s="78">
        <f>IFERROR('Cashflow Data'!L15,0)</f>
        <v>0</v>
      </c>
      <c r="M85" s="57"/>
    </row>
    <row r="86" spans="2:13" x14ac:dyDescent="0.3">
      <c r="B86" t="s">
        <v>172</v>
      </c>
      <c r="C86" s="78">
        <f>IFERROR('Cashflow Data'!C16,0)</f>
        <v>0</v>
      </c>
      <c r="D86" s="78">
        <f>IFERROR('Cashflow Data'!D16,0)</f>
        <v>2753</v>
      </c>
      <c r="E86" s="78">
        <f>IFERROR('Cashflow Data'!E16,0)</f>
        <v>1768</v>
      </c>
      <c r="F86" s="78">
        <f>IFERROR('Cashflow Data'!F16,0)</f>
        <v>1557</v>
      </c>
      <c r="G86" s="78">
        <f>IFERROR('Cashflow Data'!G16,0)</f>
        <v>1929</v>
      </c>
      <c r="H86" s="78">
        <f>IFERROR('Cashflow Data'!H16,0)</f>
        <v>1418</v>
      </c>
      <c r="I86" s="78">
        <f>IFERROR('Cashflow Data'!I16,0)</f>
        <v>1898</v>
      </c>
      <c r="J86" s="78">
        <f>IFERROR('Cashflow Data'!J16,0)</f>
        <v>1525</v>
      </c>
      <c r="K86" s="78">
        <f>IFERROR('Cashflow Data'!K16,0)</f>
        <v>1768</v>
      </c>
      <c r="L86" s="78">
        <f>IFERROR('Cashflow Data'!L16,0)</f>
        <v>2040</v>
      </c>
      <c r="M86" s="57"/>
    </row>
    <row r="87" spans="2:13" x14ac:dyDescent="0.3">
      <c r="B87" t="s">
        <v>121</v>
      </c>
      <c r="C87" s="78">
        <f>IFERROR('Cashflow Data'!C17,0)</f>
        <v>-747</v>
      </c>
      <c r="D87" s="78">
        <f>IFERROR('Cashflow Data'!D17,0)</f>
        <v>0</v>
      </c>
      <c r="E87" s="78">
        <f>IFERROR('Cashflow Data'!E17,0)</f>
        <v>0</v>
      </c>
      <c r="F87" s="78">
        <f>IFERROR('Cashflow Data'!F17,0)</f>
        <v>0</v>
      </c>
      <c r="G87" s="78">
        <f>IFERROR('Cashflow Data'!G17,0)</f>
        <v>0</v>
      </c>
      <c r="H87" s="78">
        <f>IFERROR('Cashflow Data'!H17,0)</f>
        <v>0</v>
      </c>
      <c r="I87" s="78">
        <f>IFERROR('Cashflow Data'!I17,0)</f>
        <v>0</v>
      </c>
      <c r="J87" s="78">
        <f>IFERROR('Cashflow Data'!J17,0)</f>
        <v>0</v>
      </c>
      <c r="K87" s="78">
        <f>IFERROR('Cashflow Data'!K17,0)</f>
        <v>0</v>
      </c>
      <c r="L87" s="78">
        <f>IFERROR('Cashflow Data'!L17,0)</f>
        <v>0</v>
      </c>
      <c r="M87" s="57"/>
    </row>
    <row r="88" spans="2:13" x14ac:dyDescent="0.3">
      <c r="B88" t="s">
        <v>168</v>
      </c>
      <c r="C88" s="78">
        <f>IFERROR('Cashflow Data'!C18,0)</f>
        <v>-142</v>
      </c>
      <c r="D88" s="78">
        <f>IFERROR('Cashflow Data'!D18,0)</f>
        <v>-164</v>
      </c>
      <c r="E88" s="78">
        <f>IFERROR('Cashflow Data'!E18,0)</f>
        <v>-130</v>
      </c>
      <c r="F88" s="78">
        <f>IFERROR('Cashflow Data'!F18,0)</f>
        <v>-24</v>
      </c>
      <c r="G88" s="78">
        <f>IFERROR('Cashflow Data'!G18,0)</f>
        <v>-108</v>
      </c>
      <c r="H88" s="78">
        <f>IFERROR('Cashflow Data'!H18,0)</f>
        <v>0</v>
      </c>
      <c r="I88" s="78">
        <f>IFERROR('Cashflow Data'!I18,0)</f>
        <v>0</v>
      </c>
      <c r="J88" s="78">
        <f>IFERROR('Cashflow Data'!J18,0)</f>
        <v>0</v>
      </c>
      <c r="K88" s="78">
        <f>IFERROR('Cashflow Data'!K18,0)</f>
        <v>0</v>
      </c>
      <c r="L88" s="78">
        <f>IFERROR('Cashflow Data'!L18,0)</f>
        <v>0</v>
      </c>
      <c r="M88" s="57"/>
    </row>
    <row r="89" spans="2:13" x14ac:dyDescent="0.3">
      <c r="B89" t="s">
        <v>122</v>
      </c>
      <c r="C89" s="78">
        <f>IFERROR('Cashflow Data'!C19,0)</f>
        <v>-59</v>
      </c>
      <c r="D89" s="78">
        <f>IFERROR('Cashflow Data'!D19,0)</f>
        <v>-131</v>
      </c>
      <c r="E89" s="78">
        <f>IFERROR('Cashflow Data'!E19,0)</f>
        <v>49</v>
      </c>
      <c r="F89" s="78">
        <f>IFERROR('Cashflow Data'!F19,0)</f>
        <v>1592</v>
      </c>
      <c r="G89" s="78">
        <f>IFERROR('Cashflow Data'!G19,0)</f>
        <v>-224</v>
      </c>
      <c r="H89" s="78">
        <f>IFERROR('Cashflow Data'!H19,0)</f>
        <v>-327</v>
      </c>
      <c r="I89" s="78">
        <f>IFERROR('Cashflow Data'!I19,0)</f>
        <v>-3627</v>
      </c>
      <c r="J89" s="78">
        <f>IFERROR('Cashflow Data'!J19,0)</f>
        <v>-939</v>
      </c>
      <c r="K89" s="78">
        <f>IFERROR('Cashflow Data'!K19,0)</f>
        <v>502</v>
      </c>
      <c r="L89" s="78">
        <f>IFERROR('Cashflow Data'!L19,0)</f>
        <v>-3802</v>
      </c>
      <c r="M89" s="57"/>
    </row>
    <row r="90" spans="2:13" x14ac:dyDescent="0.3">
      <c r="B90" s="86" t="s">
        <v>133</v>
      </c>
      <c r="C90" s="87">
        <f t="shared" ref="C90:L90" si="23">SUM(C81:C89)</f>
        <v>-885</v>
      </c>
      <c r="D90" s="87">
        <f t="shared" si="23"/>
        <v>-14664</v>
      </c>
      <c r="E90" s="87">
        <f t="shared" si="23"/>
        <v>4533</v>
      </c>
      <c r="F90" s="87">
        <f t="shared" si="23"/>
        <v>-632</v>
      </c>
      <c r="G90" s="87">
        <f t="shared" si="23"/>
        <v>-331</v>
      </c>
      <c r="H90" s="87">
        <f t="shared" si="23"/>
        <v>-7373</v>
      </c>
      <c r="I90" s="87">
        <f t="shared" si="23"/>
        <v>-6485</v>
      </c>
      <c r="J90" s="87">
        <f t="shared" si="23"/>
        <v>-1071</v>
      </c>
      <c r="K90" s="87">
        <f t="shared" si="23"/>
        <v>-5093</v>
      </c>
      <c r="L90" s="87">
        <f t="shared" si="23"/>
        <v>-1864</v>
      </c>
      <c r="M90" s="57"/>
    </row>
    <row r="91" spans="2:13" x14ac:dyDescent="0.3"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</row>
    <row r="92" spans="2:13" x14ac:dyDescent="0.3">
      <c r="B92" s="35" t="s">
        <v>134</v>
      </c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spans="2:13" x14ac:dyDescent="0.3">
      <c r="B93" t="s">
        <v>123</v>
      </c>
      <c r="C93" s="78">
        <f>IFERROR('Cashflow Data'!C21,0)</f>
        <v>0</v>
      </c>
      <c r="D93" s="78">
        <f>IFERROR('Cashflow Data'!D21,0)</f>
        <v>0</v>
      </c>
      <c r="E93" s="78">
        <f>IFERROR('Cashflow Data'!E21,0)</f>
        <v>5</v>
      </c>
      <c r="F93" s="78">
        <f>IFERROR('Cashflow Data'!F21,0)</f>
        <v>6</v>
      </c>
      <c r="G93" s="78">
        <f>IFERROR('Cashflow Data'!G21,0)</f>
        <v>6</v>
      </c>
      <c r="H93" s="78">
        <f>IFERROR('Cashflow Data'!H21,0)</f>
        <v>15</v>
      </c>
      <c r="I93" s="78">
        <f>IFERROR('Cashflow Data'!I21,0)</f>
        <v>21</v>
      </c>
      <c r="J93" s="78">
        <f>IFERROR('Cashflow Data'!J21,0)</f>
        <v>35</v>
      </c>
      <c r="K93" s="78">
        <f>IFERROR('Cashflow Data'!K21,0)</f>
        <v>5</v>
      </c>
      <c r="L93" s="78">
        <f>IFERROR('Cashflow Data'!L21,0)</f>
        <v>6</v>
      </c>
      <c r="M93" s="57"/>
    </row>
    <row r="94" spans="2:13" x14ac:dyDescent="0.3">
      <c r="B94" s="75" t="s">
        <v>124</v>
      </c>
      <c r="C94" s="78">
        <f>IFERROR('Cashflow Data'!C22,0)</f>
        <v>0</v>
      </c>
      <c r="D94" s="78">
        <f>IFERROR('Cashflow Data'!D22,0)</f>
        <v>0</v>
      </c>
      <c r="E94" s="78">
        <f>IFERROR('Cashflow Data'!E22,0)</f>
        <v>0</v>
      </c>
      <c r="F94" s="78">
        <f>IFERROR('Cashflow Data'!F22,0)</f>
        <v>0</v>
      </c>
      <c r="G94" s="78">
        <f>IFERROR('Cashflow Data'!G22,0)</f>
        <v>0</v>
      </c>
      <c r="H94" s="78">
        <f>IFERROR('Cashflow Data'!H22,0)</f>
        <v>0</v>
      </c>
      <c r="I94" s="78">
        <f>IFERROR('Cashflow Data'!I22,0)</f>
        <v>0</v>
      </c>
      <c r="J94" s="78">
        <f>IFERROR('Cashflow Data'!J22,0)</f>
        <v>0</v>
      </c>
      <c r="K94" s="78">
        <f>IFERROR('Cashflow Data'!K22,0)</f>
        <v>0</v>
      </c>
      <c r="L94" s="78">
        <f>IFERROR('Cashflow Data'!L22,0)</f>
        <v>-985</v>
      </c>
      <c r="M94" s="57"/>
    </row>
    <row r="95" spans="2:13" x14ac:dyDescent="0.3">
      <c r="B95" t="s">
        <v>125</v>
      </c>
      <c r="C95" s="78">
        <f>IFERROR('Cashflow Data'!C23,0)</f>
        <v>-6813</v>
      </c>
      <c r="D95" s="78">
        <f>IFERROR('Cashflow Data'!D23,0)</f>
        <v>-6939</v>
      </c>
      <c r="E95" s="78">
        <f>IFERROR('Cashflow Data'!E23,0)</f>
        <v>-7464</v>
      </c>
      <c r="F95" s="78">
        <f>IFERROR('Cashflow Data'!F23,0)</f>
        <v>-13705</v>
      </c>
      <c r="G95" s="78">
        <f>IFERROR('Cashflow Data'!G23,0)</f>
        <v>-9548</v>
      </c>
      <c r="H95" s="78">
        <f>IFERROR('Cashflow Data'!H23,0)</f>
        <v>-9137</v>
      </c>
      <c r="I95" s="78">
        <f>IFERROR('Cashflow Data'!I23,0)</f>
        <v>-12731</v>
      </c>
      <c r="J95" s="78">
        <f>IFERROR('Cashflow Data'!J23,0)</f>
        <v>-13653</v>
      </c>
      <c r="K95" s="78">
        <f>IFERROR('Cashflow Data'!K23,0)</f>
        <v>-14731</v>
      </c>
      <c r="L95" s="78">
        <f>IFERROR('Cashflow Data'!L23,0)</f>
        <v>-20289</v>
      </c>
      <c r="M95" s="57"/>
    </row>
    <row r="96" spans="2:13" x14ac:dyDescent="0.3">
      <c r="B96" t="s">
        <v>126</v>
      </c>
      <c r="C96" s="78">
        <f>IFERROR('Cashflow Data'!C24,0)</f>
        <v>0</v>
      </c>
      <c r="D96" s="78">
        <f>IFERROR('Cashflow Data'!D24,0)</f>
        <v>0</v>
      </c>
      <c r="E96" s="78">
        <f>IFERROR('Cashflow Data'!E24,0)</f>
        <v>0</v>
      </c>
      <c r="F96" s="78">
        <f>IFERROR('Cashflow Data'!F24,0)</f>
        <v>0</v>
      </c>
      <c r="G96" s="78">
        <f>IFERROR('Cashflow Data'!G24,0)</f>
        <v>-571</v>
      </c>
      <c r="H96" s="78">
        <f>IFERROR('Cashflow Data'!H24,0)</f>
        <v>-698</v>
      </c>
      <c r="I96" s="78">
        <f>IFERROR('Cashflow Data'!I24,0)</f>
        <v>-915</v>
      </c>
      <c r="J96" s="78">
        <f>IFERROR('Cashflow Data'!J24,0)</f>
        <v>-1231</v>
      </c>
      <c r="K96" s="78">
        <f>IFERROR('Cashflow Data'!K24,0)</f>
        <v>-2024</v>
      </c>
      <c r="L96" s="78">
        <f>IFERROR('Cashflow Data'!L24,0)</f>
        <v>-2355</v>
      </c>
      <c r="M96" s="57"/>
    </row>
    <row r="97" spans="2:13" x14ac:dyDescent="0.3">
      <c r="B97" t="s">
        <v>127</v>
      </c>
      <c r="C97" s="78">
        <f>IFERROR('Cashflow Data'!C25,0)</f>
        <v>0</v>
      </c>
      <c r="D97" s="78">
        <f>IFERROR('Cashflow Data'!D25,0)</f>
        <v>0</v>
      </c>
      <c r="E97" s="78">
        <f>IFERROR('Cashflow Data'!E25,0)</f>
        <v>-13046</v>
      </c>
      <c r="F97" s="78">
        <f>IFERROR('Cashflow Data'!F25,0)</f>
        <v>-813</v>
      </c>
      <c r="G97" s="78">
        <f>IFERROR('Cashflow Data'!G25,0)</f>
        <v>-7478</v>
      </c>
      <c r="H97" s="78">
        <f>IFERROR('Cashflow Data'!H25,0)</f>
        <v>34</v>
      </c>
      <c r="I97" s="78">
        <f>IFERROR('Cashflow Data'!I25,0)</f>
        <v>-11017</v>
      </c>
      <c r="J97" s="78">
        <f>IFERROR('Cashflow Data'!J25,0)</f>
        <v>-11846</v>
      </c>
      <c r="K97" s="78">
        <f>IFERROR('Cashflow Data'!K25,0)</f>
        <v>-754</v>
      </c>
      <c r="L97" s="78">
        <f>IFERROR('Cashflow Data'!L25,0)</f>
        <v>-538</v>
      </c>
      <c r="M97" s="57"/>
    </row>
    <row r="98" spans="2:13" x14ac:dyDescent="0.3">
      <c r="B98" s="86" t="s">
        <v>135</v>
      </c>
      <c r="C98" s="87">
        <f t="shared" ref="C98:L98" si="24">SUM(C93:C97)</f>
        <v>-6813</v>
      </c>
      <c r="D98" s="87">
        <f t="shared" si="24"/>
        <v>-6939</v>
      </c>
      <c r="E98" s="87">
        <f t="shared" si="24"/>
        <v>-20505</v>
      </c>
      <c r="F98" s="87">
        <f t="shared" si="24"/>
        <v>-14512</v>
      </c>
      <c r="G98" s="87">
        <f t="shared" si="24"/>
        <v>-17591</v>
      </c>
      <c r="H98" s="87">
        <f t="shared" si="24"/>
        <v>-9786</v>
      </c>
      <c r="I98" s="87">
        <f t="shared" si="24"/>
        <v>-24642</v>
      </c>
      <c r="J98" s="87">
        <f t="shared" si="24"/>
        <v>-26695</v>
      </c>
      <c r="K98" s="87">
        <f t="shared" si="24"/>
        <v>-17504</v>
      </c>
      <c r="L98" s="87">
        <f t="shared" si="24"/>
        <v>-24161</v>
      </c>
      <c r="M98" s="57"/>
    </row>
    <row r="99" spans="2:13" x14ac:dyDescent="0.3"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 spans="2:13" ht="15" thickBot="1" x14ac:dyDescent="0.35">
      <c r="B100" s="88" t="s">
        <v>136</v>
      </c>
      <c r="C100" s="89">
        <f t="shared" ref="C100:L100" si="25">(C78+C90+C98)</f>
        <v>-501</v>
      </c>
      <c r="D100" s="89">
        <f t="shared" si="25"/>
        <v>-26892</v>
      </c>
      <c r="E100" s="89">
        <f t="shared" si="25"/>
        <v>1863</v>
      </c>
      <c r="F100" s="89">
        <f t="shared" si="25"/>
        <v>-1388</v>
      </c>
      <c r="G100" s="89">
        <f t="shared" si="25"/>
        <v>-3617</v>
      </c>
      <c r="H100" s="89">
        <f t="shared" si="25"/>
        <v>-540</v>
      </c>
      <c r="I100" s="89">
        <f t="shared" si="25"/>
        <v>-15151</v>
      </c>
      <c r="J100" s="89">
        <f t="shared" si="25"/>
        <v>-12714</v>
      </c>
      <c r="K100" s="89">
        <f t="shared" si="25"/>
        <v>-7562</v>
      </c>
      <c r="L100" s="89">
        <f t="shared" si="25"/>
        <v>7510</v>
      </c>
      <c r="M100" s="57"/>
    </row>
    <row r="101" spans="2:13" ht="15" thickTop="1" x14ac:dyDescent="0.3"/>
  </sheetData>
  <mergeCells count="1">
    <mergeCell ref="B2:M2"/>
  </mergeCells>
  <pageMargins left="0.7" right="0.7" top="0.75" bottom="0.75" header="0.3" footer="0.3"/>
  <pageSetup orientation="portrait" r:id="rId1"/>
  <ignoredErrors>
    <ignoredError sqref="M21 M24 M30 E9 D1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16FA-08DE-469E-87F4-431FC0DD1D04}">
  <dimension ref="B2:AB81"/>
  <sheetViews>
    <sheetView showGridLines="0" zoomScale="80" zoomScaleNormal="80" workbookViewId="0">
      <pane ySplit="3" topLeftCell="A4" activePane="bottomLeft" state="frozen"/>
      <selection pane="bottomLeft" activeCell="O44" sqref="O44:AB81"/>
    </sheetView>
  </sheetViews>
  <sheetFormatPr defaultRowHeight="14.4" x14ac:dyDescent="0.3"/>
  <cols>
    <col min="1" max="1" width="1.88671875" customWidth="1"/>
    <col min="2" max="2" width="26.77734375" customWidth="1"/>
    <col min="3" max="12" width="13.77734375" customWidth="1"/>
    <col min="13" max="13" width="12.77734375" customWidth="1"/>
    <col min="14" max="15" width="11.5546875" bestFit="1" customWidth="1"/>
  </cols>
  <sheetData>
    <row r="2" spans="2:15" x14ac:dyDescent="0.3">
      <c r="B2" s="91" t="str">
        <f>"Ratio Analysis - "&amp;'Data Sheet'!B1</f>
        <v>Ratio Analysis - INFOSYS LTD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2:15" x14ac:dyDescent="0.3">
      <c r="B3" s="21" t="s">
        <v>81</v>
      </c>
      <c r="C3" s="21">
        <f>'Data Sheet'!B16</f>
        <v>42460</v>
      </c>
      <c r="D3" s="21">
        <f>'Data Sheet'!C16</f>
        <v>42825</v>
      </c>
      <c r="E3" s="21">
        <f>'Data Sheet'!D16</f>
        <v>43190</v>
      </c>
      <c r="F3" s="21">
        <f>'Data Sheet'!E16</f>
        <v>43555</v>
      </c>
      <c r="G3" s="21">
        <f>'Data Sheet'!F16</f>
        <v>43921</v>
      </c>
      <c r="H3" s="21">
        <f>'Data Sheet'!G16</f>
        <v>44286</v>
      </c>
      <c r="I3" s="21">
        <f>'Data Sheet'!H16</f>
        <v>44651</v>
      </c>
      <c r="J3" s="21">
        <f>'Data Sheet'!I16</f>
        <v>45016</v>
      </c>
      <c r="K3" s="21">
        <f>'Data Sheet'!J16</f>
        <v>45382</v>
      </c>
      <c r="L3" s="21">
        <f>'Data Sheet'!K16</f>
        <v>45747</v>
      </c>
      <c r="M3" s="21" t="s">
        <v>163</v>
      </c>
      <c r="N3" s="21" t="s">
        <v>164</v>
      </c>
      <c r="O3" s="21" t="s">
        <v>165</v>
      </c>
    </row>
    <row r="5" spans="2:15" x14ac:dyDescent="0.3">
      <c r="B5" s="40" t="s">
        <v>137</v>
      </c>
      <c r="C5" s="56" t="s">
        <v>166</v>
      </c>
      <c r="D5" s="44">
        <f>IFERROR('Historical FS'!D7,0)</f>
        <v>9.67793597155715E-2</v>
      </c>
      <c r="E5" s="44">
        <f>IFERROR('Historical FS'!E7,0)</f>
        <v>2.9758775772443125E-2</v>
      </c>
      <c r="F5" s="44">
        <f>IFERROR('Historical FS'!F7,0)</f>
        <v>0.17232920223476356</v>
      </c>
      <c r="G5" s="44">
        <f>IFERROR('Historical FS'!G7,0)</f>
        <v>9.8167523435137571E-2</v>
      </c>
      <c r="H5" s="44">
        <f>IFERROR('Historical FS'!H7,0)</f>
        <v>0.10662951173574475</v>
      </c>
      <c r="I5" s="44">
        <f>IFERROR('Historical FS'!I7,0)</f>
        <v>0.21069551715900947</v>
      </c>
      <c r="J5" s="44">
        <f>IFERROR('Historical FS'!J7,0)</f>
        <v>0.20655864387829759</v>
      </c>
      <c r="K5" s="44">
        <f>IFERROR('Historical FS'!K7,0)</f>
        <v>4.7033733741236095E-2</v>
      </c>
      <c r="L5" s="44">
        <f>IFERROR('Historical FS'!L7,0)</f>
        <v>6.0649443612936782E-2</v>
      </c>
      <c r="M5" s="44"/>
      <c r="N5" s="44">
        <f>IFERROR(AVERAGE(D5:L5,),0)</f>
        <v>0.10286017112851405</v>
      </c>
      <c r="O5" s="44">
        <f>MEDIAN(C5:L5)</f>
        <v>9.8167523435137571E-2</v>
      </c>
    </row>
    <row r="6" spans="2:15" x14ac:dyDescent="0.3">
      <c r="B6" t="s">
        <v>138</v>
      </c>
      <c r="C6" s="57" t="s">
        <v>166</v>
      </c>
      <c r="D6" s="45">
        <f>IFERROR('Historical FS'!D18/'Historical FS'!C18-1,0)</f>
        <v>8.9290942092628445E-2</v>
      </c>
      <c r="E6" s="45">
        <f>IFERROR('Historical FS'!E18/'Historical FS'!D18-1,0)</f>
        <v>1.1717910126854525E-2</v>
      </c>
      <c r="F6" s="45">
        <f>IFERROR('Historical FS'!F18/'Historical FS'!E18-1,0)</f>
        <v>7.1618318988417862E-2</v>
      </c>
      <c r="G6" s="45">
        <f>IFERROR('Historical FS'!G18/'Historical FS'!F18-1,0)</f>
        <v>0.10396628656420437</v>
      </c>
      <c r="H6" s="45">
        <f>IFERROR('Historical FS'!H18/'Historical FS'!G18-1,0)</f>
        <v>0.25248125028068436</v>
      </c>
      <c r="I6" s="45">
        <f>IFERROR('Historical FS'!I18/'Historical FS'!H18-1,0)</f>
        <v>0.12915486392484499</v>
      </c>
      <c r="J6" s="45">
        <f>IFERROR('Historical FS'!J18/'Historical FS'!I18-1,0)</f>
        <v>0.1155568257597408</v>
      </c>
      <c r="K6" s="45">
        <f>IFERROR('Historical FS'!K18/'Historical FS'!J18-1,0)</f>
        <v>3.6863079988613823E-2</v>
      </c>
      <c r="L6" s="45">
        <f>IFERROR('Historical FS'!L18/'Historical FS'!K18-1,0)</f>
        <v>7.7172271791352109E-2</v>
      </c>
      <c r="M6" s="45"/>
      <c r="N6" s="45">
        <f t="shared" ref="N6:N8" si="0">IFERROR(AVERAGE(D6:L6,),0)</f>
        <v>8.8782174951734127E-2</v>
      </c>
      <c r="O6" s="45">
        <f t="shared" ref="O6:O39" si="1">MEDIAN(C6:L6)</f>
        <v>8.9290942092628445E-2</v>
      </c>
    </row>
    <row r="7" spans="2:15" x14ac:dyDescent="0.3">
      <c r="B7" t="s">
        <v>139</v>
      </c>
      <c r="C7" s="57" t="s">
        <v>166</v>
      </c>
      <c r="D7" s="45">
        <f>IFERROR('Historical FS'!D27/'Historical FS'!C27-1,0)</f>
        <v>8.2010243277848893E-2</v>
      </c>
      <c r="E7" s="45">
        <f>IFERROR('Historical FS'!E27/'Historical FS'!D27-1,0)</f>
        <v>3.4317496006153192E-3</v>
      </c>
      <c r="F7" s="45">
        <f>IFERROR('Historical FS'!F27/'Historical FS'!E27-1,0)</f>
        <v>7.0758889085441368E-2</v>
      </c>
      <c r="G7" s="45">
        <f>IFERROR('Historical FS'!G27/'Historical FS'!F27-1,0)</f>
        <v>5.7547221763313061E-2</v>
      </c>
      <c r="H7" s="45">
        <f>IFERROR('Historical FS'!H27/'Historical FS'!G27-1,0)</f>
        <v>0.27197458862736923</v>
      </c>
      <c r="I7" s="45">
        <f>IFERROR('Historical FS'!I27/'Historical FS'!H27-1,0)</f>
        <v>0.13869898063618136</v>
      </c>
      <c r="J7" s="45">
        <f>IFERROR('Historical FS'!J27/'Historical FS'!I27-1,0)</f>
        <v>0.10088081970159979</v>
      </c>
      <c r="K7" s="45">
        <f>IFERROR('Historical FS'!K27/'Historical FS'!J27-1,0)</f>
        <v>2.1423206296332653E-2</v>
      </c>
      <c r="L7" s="45">
        <f>IFERROR('Historical FS'!L27/'Historical FS'!K27-1,0)</f>
        <v>8.7316558493461649E-2</v>
      </c>
      <c r="M7" s="45"/>
      <c r="N7" s="45">
        <f t="shared" si="0"/>
        <v>8.3404225748216335E-2</v>
      </c>
      <c r="O7" s="45">
        <f t="shared" si="1"/>
        <v>8.2010243277848893E-2</v>
      </c>
    </row>
    <row r="8" spans="2:15" x14ac:dyDescent="0.3">
      <c r="B8" s="41" t="s">
        <v>140</v>
      </c>
      <c r="C8" s="58" t="s">
        <v>166</v>
      </c>
      <c r="D8" s="47">
        <f>IFERROR('Historical FS'!D33/'Historical FS'!C33-1,0)</f>
        <v>9.0076188639212962E-2</v>
      </c>
      <c r="E8" s="47">
        <f>IFERROR('Historical FS'!E33/'Historical FS'!D33-1,0)</f>
        <v>0.12518800318499523</v>
      </c>
      <c r="F8" s="47">
        <f>IFERROR('Historical FS'!F33/'Historical FS'!E33-1,0)</f>
        <v>-1.4939455889290798E-2</v>
      </c>
      <c r="G8" s="47">
        <f>IFERROR('Historical FS'!G33/'Historical FS'!F33-1,0)</f>
        <v>0.10440613026819934</v>
      </c>
      <c r="H8" s="47">
        <f>IFERROR('Historical FS'!H33/'Historical FS'!G33-1,0)</f>
        <v>0.24472390864411686</v>
      </c>
      <c r="I8" s="47">
        <f>IFERROR('Historical FS'!I33/'Historical FS'!H33-1,0)</f>
        <v>0.15265358262687267</v>
      </c>
      <c r="J8" s="47">
        <f>IFERROR('Historical FS'!J33/'Historical FS'!I33-1,0)</f>
        <v>7.8383960505767902E-2</v>
      </c>
      <c r="K8" s="47">
        <f>IFERROR('Historical FS'!K33/'Historical FS'!J33-1,0)</f>
        <v>6.0727799317981113E-3</v>
      </c>
      <c r="L8" s="47">
        <f>IFERROR('Historical FS'!L33/'Historical FS'!K33-1,0)</f>
        <v>7.4894367832102793E-2</v>
      </c>
      <c r="M8" s="47"/>
      <c r="N8" s="47">
        <f t="shared" si="0"/>
        <v>8.6145946574377505E-2</v>
      </c>
      <c r="O8" s="47">
        <f t="shared" si="1"/>
        <v>9.0076188639212962E-2</v>
      </c>
    </row>
    <row r="9" spans="2:15" x14ac:dyDescent="0.3">
      <c r="D9" s="46"/>
      <c r="E9" s="46"/>
      <c r="F9" s="46"/>
      <c r="G9" s="46"/>
      <c r="H9" s="46"/>
      <c r="I9" s="46"/>
      <c r="J9" s="46"/>
      <c r="K9" s="46"/>
      <c r="L9" s="46"/>
      <c r="N9" s="45"/>
      <c r="O9" s="45"/>
    </row>
    <row r="10" spans="2:15" x14ac:dyDescent="0.3">
      <c r="B10" s="40" t="s">
        <v>94</v>
      </c>
      <c r="C10" s="44">
        <f>IFERROR('Historical FS'!C13,0)</f>
        <v>0.35151583094441152</v>
      </c>
      <c r="D10" s="44">
        <f>IFERROR('Historical FS'!D13,0)</f>
        <v>0.34862157584253256</v>
      </c>
      <c r="E10" s="44">
        <f>IFERROR('Historical FS'!E13,0)</f>
        <v>0.34212018944442868</v>
      </c>
      <c r="F10" s="44">
        <f>IFERROR('Historical FS'!F13,0)</f>
        <v>0.32934986392500754</v>
      </c>
      <c r="G10" s="44">
        <f>IFERROR('Historical FS'!G13,0)</f>
        <v>0.31479992510270843</v>
      </c>
      <c r="H10" s="44">
        <f>IFERROR('Historical FS'!H13,0)</f>
        <v>0.31831754120550998</v>
      </c>
      <c r="I10" s="44">
        <f>IFERROR('Historical FS'!I13,0)</f>
        <v>0.30271043480405457</v>
      </c>
      <c r="J10" s="44">
        <f>IFERROR('Historical FS'!J13,0)</f>
        <v>0.28539794367943749</v>
      </c>
      <c r="K10" s="44">
        <f>IFERROR('Historical FS'!K13,0)</f>
        <v>0.28398516301164833</v>
      </c>
      <c r="L10" s="44">
        <f>IFERROR('Historical FS'!L13,0)</f>
        <v>0.2847107184489846</v>
      </c>
      <c r="M10" s="44"/>
      <c r="N10" s="44">
        <f>IFERROR(AVERAGE(C10:L10),0)</f>
        <v>0.31615291864087242</v>
      </c>
      <c r="O10" s="44">
        <f t="shared" si="1"/>
        <v>0.31655873315410921</v>
      </c>
    </row>
    <row r="11" spans="2:15" x14ac:dyDescent="0.3">
      <c r="B11" t="s">
        <v>141</v>
      </c>
      <c r="C11" s="45">
        <f>IFERROR('Historical FS'!C19,0)</f>
        <v>0.27352220496148366</v>
      </c>
      <c r="D11" s="45">
        <f>IFERROR('Historical FS'!D19,0)</f>
        <v>0.27165469306699375</v>
      </c>
      <c r="E11" s="45">
        <f>IFERROR('Historical FS'!E19,0)</f>
        <v>0.26689543688494372</v>
      </c>
      <c r="F11" s="45">
        <f>IFERROR('Historical FS'!F19,0)</f>
        <v>0.24396734200181433</v>
      </c>
      <c r="G11" s="45">
        <f>IFERROR('Historical FS'!G19,0)</f>
        <v>0.24525558700752279</v>
      </c>
      <c r="H11" s="45">
        <f>IFERROR('Historical FS'!H19,0)</f>
        <v>0.27757982323433394</v>
      </c>
      <c r="I11" s="45">
        <f>IFERROR('Historical FS'!I19,0)</f>
        <v>0.25888475102966929</v>
      </c>
      <c r="J11" s="45">
        <f>IFERROR('Historical FS'!J19,0)</f>
        <v>0.23935898396778568</v>
      </c>
      <c r="K11" s="45">
        <f>IFERROR('Historical FS'!K19,0)</f>
        <v>0.23703390381987374</v>
      </c>
      <c r="L11" s="45">
        <f>IFERROR('Historical FS'!L19,0)</f>
        <v>0.24072642493404503</v>
      </c>
      <c r="M11" s="45"/>
      <c r="N11" s="45">
        <f t="shared" ref="N11:N39" si="2">IFERROR(AVERAGE(C11:L11),0)</f>
        <v>0.25548791509084656</v>
      </c>
      <c r="O11" s="45">
        <f t="shared" si="1"/>
        <v>0.25207016901859602</v>
      </c>
    </row>
    <row r="12" spans="2:15" x14ac:dyDescent="0.3">
      <c r="B12" t="s">
        <v>142</v>
      </c>
      <c r="C12" s="45">
        <f>IFERROR(('Historical FS'!C18-'Historical FS'!C24)/'Historical FS'!C6,0)</f>
        <v>0.25015614740314857</v>
      </c>
      <c r="D12" s="45">
        <f>IFERROR(('Historical FS'!D18-'Historical FS'!D24)/'Historical FS'!D6,0)</f>
        <v>0.24678757081946148</v>
      </c>
      <c r="E12" s="45">
        <f>IFERROR(('Historical FS'!E18-'Historical FS'!E24)/'Historical FS'!E6,0)</f>
        <v>0.24047814866282863</v>
      </c>
      <c r="F12" s="45">
        <f>IFERROR(('Historical FS'!F18-'Historical FS'!F24)/'Historical FS'!F6,0)</f>
        <v>0.2196431811309344</v>
      </c>
      <c r="G12" s="45">
        <f>IFERROR(('Historical FS'!G18-'Historical FS'!G24)/'Historical FS'!G6,0)</f>
        <v>0.21339119516251612</v>
      </c>
      <c r="H12" s="45">
        <f>IFERROR(('Historical FS'!H18-'Historical FS'!H24)/'Historical FS'!H6,0)</f>
        <v>0.24506330121824987</v>
      </c>
      <c r="I12" s="45">
        <f>IFERROR(('Historical FS'!I18-'Historical FS'!I24)/'Historical FS'!I6,0)</f>
        <v>0.23030885967724699</v>
      </c>
      <c r="J12" s="45">
        <f>IFERROR(('Historical FS'!J18-'Historical FS'!J24)/'Historical FS'!J6,0)</f>
        <v>0.21057185879659596</v>
      </c>
      <c r="K12" s="45">
        <f>IFERROR(('Historical FS'!K18-'Historical FS'!K24)/'Historical FS'!K6,0)</f>
        <v>0.20659204789483959</v>
      </c>
      <c r="L12" s="45">
        <f>IFERROR(('Historical FS'!L18-'Historical FS'!L24)/'Historical FS'!L6,0)</f>
        <v>0.21120314129701209</v>
      </c>
      <c r="M12" s="45"/>
      <c r="N12" s="45">
        <f t="shared" si="2"/>
        <v>0.22741954520628335</v>
      </c>
      <c r="O12" s="45">
        <f t="shared" si="1"/>
        <v>0.2249760204040907</v>
      </c>
    </row>
    <row r="13" spans="2:15" x14ac:dyDescent="0.3">
      <c r="B13" t="s">
        <v>143</v>
      </c>
      <c r="C13" s="45">
        <f>IFERROR('Historical FS'!C28,0)</f>
        <v>0.25015614740314857</v>
      </c>
      <c r="D13" s="45">
        <f>IFERROR('Historical FS'!D28,0)</f>
        <v>0.24678757081946148</v>
      </c>
      <c r="E13" s="45">
        <f>IFERROR('Historical FS'!E28,0)</f>
        <v>0.24047814866282863</v>
      </c>
      <c r="F13" s="45">
        <f>IFERROR('Historical FS'!F28,0)</f>
        <v>0.2196431811309344</v>
      </c>
      <c r="G13" s="45">
        <f>IFERROR('Historical FS'!G28,0)</f>
        <v>0.211518762872972</v>
      </c>
      <c r="H13" s="45">
        <f>IFERROR('Historical FS'!H28,0)</f>
        <v>0.24312246197945697</v>
      </c>
      <c r="I13" s="45">
        <f>IFERROR('Historical FS'!I28,0)</f>
        <v>0.2286646772058763</v>
      </c>
      <c r="J13" s="45">
        <f>IFERROR('Historical FS'!J28,0)</f>
        <v>0.20863681890343197</v>
      </c>
      <c r="K13" s="45">
        <f>IFERROR('Historical FS'!K28,0)</f>
        <v>0.20353354591006703</v>
      </c>
      <c r="L13" s="45">
        <f>IFERROR('Historical FS'!L28,0)</f>
        <v>0.20865083747469171</v>
      </c>
      <c r="M13" s="45"/>
      <c r="N13" s="45">
        <f t="shared" si="2"/>
        <v>0.22611921523628689</v>
      </c>
      <c r="O13" s="45">
        <f t="shared" si="1"/>
        <v>0.22415392916840535</v>
      </c>
    </row>
    <row r="14" spans="2:15" x14ac:dyDescent="0.3">
      <c r="B14" s="41" t="s">
        <v>144</v>
      </c>
      <c r="C14" s="47">
        <f>IFERROR('Historical FS'!C34,0)</f>
        <v>0.16606076135872264</v>
      </c>
      <c r="D14" s="47">
        <f>IFERROR('Historical FS'!D34,0)</f>
        <v>0.16504585012557677</v>
      </c>
      <c r="E14" s="47">
        <f>IFERROR('Historical FS'!E34,0)</f>
        <v>0.18034088653186239</v>
      </c>
      <c r="F14" s="47">
        <f>IFERROR('Historical FS'!F34,0)</f>
        <v>0.1515331115814938</v>
      </c>
      <c r="G14" s="47">
        <f>IFERROR('Historical FS'!G34,0)</f>
        <v>0.15239395975372008</v>
      </c>
      <c r="H14" s="47">
        <f>IFERROR('Historical FS'!H34,0)</f>
        <v>0.17141094036149376</v>
      </c>
      <c r="I14" s="47">
        <f>IFERROR('Historical FS'!I34,0)</f>
        <v>0.16319333119589613</v>
      </c>
      <c r="J14" s="47">
        <f>IFERROR('Historical FS'!J34,0)</f>
        <v>0.14585703870761138</v>
      </c>
      <c r="K14" s="47">
        <f>IFERROR('Historical FS'!K34,0)</f>
        <v>0.14015097286392919</v>
      </c>
      <c r="L14" s="47">
        <f>IFERROR('Historical FS'!L34,0)</f>
        <v>0.14203325357383889</v>
      </c>
      <c r="M14" s="47"/>
      <c r="N14" s="47">
        <f t="shared" si="2"/>
        <v>0.15780201060541449</v>
      </c>
      <c r="O14" s="47">
        <f t="shared" si="1"/>
        <v>0.15779364547480812</v>
      </c>
    </row>
    <row r="15" spans="2:15" x14ac:dyDescent="0.3">
      <c r="N15" s="45"/>
      <c r="O15" s="45"/>
    </row>
    <row r="16" spans="2:15" x14ac:dyDescent="0.3">
      <c r="B16" s="42" t="s">
        <v>145</v>
      </c>
      <c r="C16" s="49">
        <f>IFERROR('Historical FS'!C16,0)</f>
        <v>7.7993625982927889E-2</v>
      </c>
      <c r="D16" s="49">
        <f>IFERROR('Historical FS'!D16,0)</f>
        <v>7.6966882775538814E-2</v>
      </c>
      <c r="E16" s="49">
        <f>IFERROR('Historical FS'!E16,0)</f>
        <v>7.5224752559484978E-2</v>
      </c>
      <c r="F16" s="49">
        <f>IFERROR('Historical FS'!F16,0)</f>
        <v>8.5382521923193233E-2</v>
      </c>
      <c r="G16" s="49">
        <f>IFERROR('Historical FS'!G16,0)</f>
        <v>6.9544338095185648E-2</v>
      </c>
      <c r="H16" s="49">
        <f>IFERROR('Historical FS'!H16,0)</f>
        <v>4.0737717971176049E-2</v>
      </c>
      <c r="I16" s="49">
        <f>IFERROR('Historical FS'!I16,0)</f>
        <v>4.3825683774385282E-2</v>
      </c>
      <c r="J16" s="49">
        <f>IFERROR('Historical FS'!J16,0)</f>
        <v>4.6038959711651804E-2</v>
      </c>
      <c r="K16" s="49">
        <f>IFERROR('Historical FS'!K16,0)</f>
        <v>4.6951259191774584E-2</v>
      </c>
      <c r="L16" s="49">
        <f>IFERROR('Historical FS'!L16,0)</f>
        <v>4.3984293514939564E-2</v>
      </c>
      <c r="M16" s="44"/>
      <c r="N16" s="44">
        <f t="shared" si="2"/>
        <v>6.0665003550025784E-2</v>
      </c>
      <c r="O16" s="44">
        <f t="shared" si="1"/>
        <v>5.824779864348012E-2</v>
      </c>
    </row>
    <row r="17" spans="2:15" x14ac:dyDescent="0.3">
      <c r="B17" t="s">
        <v>146</v>
      </c>
      <c r="C17" s="45">
        <f>IFERROR('Historical FS'!C25,0)</f>
        <v>2.3366057558335068E-2</v>
      </c>
      <c r="D17" s="45">
        <f>IFERROR('Historical FS'!D25,0)</f>
        <v>2.4867122247532271E-2</v>
      </c>
      <c r="E17" s="45">
        <f>IFERROR('Historical FS'!E25,0)</f>
        <v>2.6417288222115084E-2</v>
      </c>
      <c r="F17" s="45">
        <f>IFERROR('Historical FS'!F25,0)</f>
        <v>2.4324160870879952E-2</v>
      </c>
      <c r="G17" s="45">
        <f>IFERROR('Historical FS'!G25,0)</f>
        <v>3.1864391845006661E-2</v>
      </c>
      <c r="H17" s="45">
        <f>IFERROR('Historical FS'!H25,0)</f>
        <v>3.2516522016084085E-2</v>
      </c>
      <c r="I17" s="45">
        <f>IFERROR('Historical FS'!I25,0)</f>
        <v>2.8575891352422292E-2</v>
      </c>
      <c r="J17" s="45">
        <f>IFERROR('Historical FS'!J25,0)</f>
        <v>2.8787125171189708E-2</v>
      </c>
      <c r="K17" s="45">
        <f>IFERROR('Historical FS'!K25,0)</f>
        <v>3.0441855925034164E-2</v>
      </c>
      <c r="L17" s="45">
        <f>IFERROR('Historical FS'!L25,0)</f>
        <v>2.9523283637032948E-2</v>
      </c>
      <c r="M17" s="45"/>
      <c r="N17" s="45">
        <f t="shared" si="2"/>
        <v>2.8068369884563221E-2</v>
      </c>
      <c r="O17" s="45">
        <f t="shared" si="1"/>
        <v>2.8681508261806002E-2</v>
      </c>
    </row>
    <row r="18" spans="2:15" x14ac:dyDescent="0.3">
      <c r="B18" s="43" t="s">
        <v>147</v>
      </c>
      <c r="C18" s="48">
        <f>C12</f>
        <v>0.25015614740314857</v>
      </c>
      <c r="D18" s="48">
        <f t="shared" ref="D18:K18" si="3">D12</f>
        <v>0.24678757081946148</v>
      </c>
      <c r="E18" s="48">
        <f t="shared" si="3"/>
        <v>0.24047814866282863</v>
      </c>
      <c r="F18" s="48">
        <f t="shared" si="3"/>
        <v>0.2196431811309344</v>
      </c>
      <c r="G18" s="48">
        <f t="shared" si="3"/>
        <v>0.21339119516251612</v>
      </c>
      <c r="H18" s="48">
        <f t="shared" si="3"/>
        <v>0.24506330121824987</v>
      </c>
      <c r="I18" s="48">
        <f t="shared" si="3"/>
        <v>0.23030885967724699</v>
      </c>
      <c r="J18" s="48">
        <f t="shared" si="3"/>
        <v>0.21057185879659596</v>
      </c>
      <c r="K18" s="48">
        <f t="shared" si="3"/>
        <v>0.20659204789483959</v>
      </c>
      <c r="L18" s="48">
        <f t="shared" ref="L18" si="4">L12</f>
        <v>0.21120314129701209</v>
      </c>
      <c r="M18" s="48"/>
      <c r="N18" s="48">
        <f t="shared" si="2"/>
        <v>0.22741954520628335</v>
      </c>
      <c r="O18" s="48">
        <f t="shared" si="1"/>
        <v>0.2249760204040907</v>
      </c>
    </row>
    <row r="19" spans="2:15" x14ac:dyDescent="0.3">
      <c r="N19" s="45"/>
      <c r="O19" s="45"/>
    </row>
    <row r="20" spans="2:15" x14ac:dyDescent="0.3">
      <c r="B20" s="40" t="s">
        <v>148</v>
      </c>
      <c r="C20" s="44">
        <f>IFERROR(('Historical FS'!C18-'Historical FS'!C24)/SUM('Historical FS'!C47:C49),0)</f>
        <v>0.25298004664420837</v>
      </c>
      <c r="D20" s="44">
        <f>IFERROR(('Historical FS'!D18-'Historical FS'!D24)/SUM('Historical FS'!D47:D49),0)</f>
        <v>0.24500594357948449</v>
      </c>
      <c r="E20" s="44">
        <f>IFERROR(('Historical FS'!E18-'Historical FS'!E24)/SUM('Historical FS'!E47:E49),0)</f>
        <v>0.26121713414352388</v>
      </c>
      <c r="F20" s="44">
        <f>IFERROR(('Historical FS'!F18-'Historical FS'!F24)/SUM('Historical FS'!F47:F49),0)</f>
        <v>0.27959290509330542</v>
      </c>
      <c r="G20" s="44">
        <f>IFERROR(('Historical FS'!G18-'Historical FS'!G24)/SUM('Historical FS'!G47:G49),0)</f>
        <v>0.27644364539189248</v>
      </c>
      <c r="H20" s="44">
        <f>IFERROR(('Historical FS'!H18-'Historical FS'!H24)/SUM('Historical FS'!H47:H49),0)</f>
        <v>0.30145942504530093</v>
      </c>
      <c r="I20" s="44">
        <f>IFERROR(('Historical FS'!I18-'Historical FS'!I24)/SUM('Historical FS'!I47:I49),0)</f>
        <v>0.34661734138374739</v>
      </c>
      <c r="J20" s="44">
        <f>IFERROR(('Historical FS'!J18-'Historical FS'!J24)/SUM('Historical FS'!J47:J49),0)</f>
        <v>0.36920889780899818</v>
      </c>
      <c r="K20" s="44">
        <f>IFERROR(('Historical FS'!K18-'Historical FS'!K24)/SUM('Historical FS'!K47:K49),0)</f>
        <v>0.32906970717802542</v>
      </c>
      <c r="L20" s="44">
        <f>IFERROR(('Historical FS'!L18-'Historical FS'!L24)/SUM('Historical FS'!L47:L49),0)</f>
        <v>0.33085684079004279</v>
      </c>
      <c r="M20" s="44"/>
      <c r="N20" s="44">
        <f t="shared" si="2"/>
        <v>0.29924518870585293</v>
      </c>
      <c r="O20" s="44">
        <f t="shared" si="1"/>
        <v>0.29052616506930318</v>
      </c>
    </row>
    <row r="21" spans="2:15" x14ac:dyDescent="0.3">
      <c r="B21" t="s">
        <v>149</v>
      </c>
      <c r="C21" s="59">
        <f>'Historical FS'!C44</f>
        <v>0.46490500530427237</v>
      </c>
      <c r="D21" s="59">
        <f>'Historical FS'!D44</f>
        <v>0.47875785189772624</v>
      </c>
      <c r="E21" s="59">
        <f>'Historical FS'!E44</f>
        <v>0.25573203333857519</v>
      </c>
      <c r="F21" s="59">
        <f>'Historical FS'!F44</f>
        <v>0.26384897828863341</v>
      </c>
      <c r="G21" s="59">
        <f>'Historical FS'!G44</f>
        <v>0.46321191095692393</v>
      </c>
      <c r="H21" s="59">
        <f>'Historical FS'!H44</f>
        <v>0.33401463244687024</v>
      </c>
      <c r="I21" s="59">
        <f>'Historical FS'!I44</f>
        <v>0.3447383003375144</v>
      </c>
      <c r="J21" s="59">
        <f>'Historical FS'!J44</f>
        <v>0.34277572756574948</v>
      </c>
      <c r="K21" s="59">
        <f>'Historical FS'!K44</f>
        <v>0.1153271114825648</v>
      </c>
      <c r="L21" s="59">
        <f>'Historical FS'!L44</f>
        <v>0.22990064794816423</v>
      </c>
      <c r="M21" s="45"/>
      <c r="N21" s="45">
        <f>IFERROR(AVERAGE(C21:L21),0)</f>
        <v>0.32932121995669938</v>
      </c>
      <c r="O21" s="45">
        <f t="shared" si="1"/>
        <v>0.33839518000630986</v>
      </c>
    </row>
    <row r="22" spans="2:15" x14ac:dyDescent="0.3">
      <c r="B22" t="s">
        <v>150</v>
      </c>
      <c r="C22" s="45">
        <f>IFERROR(('Historical FS'!C33)/SUM('Historical FS'!C47:C48),0)</f>
        <v>0.16793534594454521</v>
      </c>
      <c r="D22" s="45">
        <f>IFERROR(('Historical FS'!D33)/SUM('Historical FS'!D47:D48),0)</f>
        <v>0.16385433881302369</v>
      </c>
      <c r="E22" s="45">
        <f>IFERROR(('Historical FS'!E33)/SUM('Historical FS'!E47:E48),0)</f>
        <v>0.19589359703032824</v>
      </c>
      <c r="F22" s="45">
        <f>IFERROR(('Historical FS'!F33)/SUM('Historical FS'!F47:F48),0)</f>
        <v>0.1928927757590688</v>
      </c>
      <c r="G22" s="45">
        <f>IFERROR(('Historical FS'!G33)/SUM('Historical FS'!G47:G48),0)</f>
        <v>0.21139801375095493</v>
      </c>
      <c r="H22" s="45">
        <f>IFERROR(('Historical FS'!H33)/SUM('Historical FS'!H47:H48),0)</f>
        <v>0.22556351586750664</v>
      </c>
      <c r="I22" s="45">
        <f>IFERROR(('Historical FS'!I33)/SUM('Historical FS'!I47:I48),0)</f>
        <v>0.26345056403450562</v>
      </c>
      <c r="J22" s="45">
        <f>IFERROR(('Historical FS'!J33)/SUM('Historical FS'!J47:J48),0)</f>
        <v>0.28388611136897107</v>
      </c>
      <c r="K22" s="45">
        <f>IFERROR(('Historical FS'!K33)/SUM('Historical FS'!K47:K48),0)</f>
        <v>0.24441645104180854</v>
      </c>
      <c r="L22" s="45">
        <f>IFERROR(('Historical FS'!L33)/SUM('Historical FS'!L47:L48),0)</f>
        <v>0.24160387401114614</v>
      </c>
      <c r="M22" s="45"/>
      <c r="N22" s="45">
        <f t="shared" si="2"/>
        <v>0.21908945876218588</v>
      </c>
      <c r="O22" s="45">
        <f t="shared" si="1"/>
        <v>0.21848076480923079</v>
      </c>
    </row>
    <row r="23" spans="2:15" x14ac:dyDescent="0.3">
      <c r="B23" t="s">
        <v>151</v>
      </c>
      <c r="C23" s="59">
        <f>C21*C22</f>
        <v>7.8073982897123598E-2</v>
      </c>
      <c r="D23" s="59">
        <f t="shared" ref="D23:L23" si="5">D21*D22</f>
        <v>7.8446551274245449E-2</v>
      </c>
      <c r="E23" s="59">
        <f t="shared" si="5"/>
        <v>5.0096267886573315E-2</v>
      </c>
      <c r="F23" s="59">
        <f t="shared" si="5"/>
        <v>5.0894561803288774E-2</v>
      </c>
      <c r="G23" s="59">
        <f t="shared" si="5"/>
        <v>9.7922077922077924E-2</v>
      </c>
      <c r="H23" s="59">
        <f t="shared" si="5"/>
        <v>7.5341514845909008E-2</v>
      </c>
      <c r="I23" s="59">
        <f t="shared" si="5"/>
        <v>9.0821499668214969E-2</v>
      </c>
      <c r="J23" s="59">
        <f t="shared" si="5"/>
        <v>9.7309268370310439E-2</v>
      </c>
      <c r="K23" s="59">
        <f t="shared" si="5"/>
        <v>2.8187843297471496E-2</v>
      </c>
      <c r="L23" s="59">
        <f t="shared" si="5"/>
        <v>5.554488718194913E-2</v>
      </c>
      <c r="M23" s="45"/>
      <c r="N23" s="45">
        <f>IFERROR(AVERAGE(C23:L23),0)</f>
        <v>7.02638455147164E-2</v>
      </c>
      <c r="O23" s="45">
        <f t="shared" si="1"/>
        <v>7.6707748871516296E-2</v>
      </c>
    </row>
    <row r="24" spans="2:15" x14ac:dyDescent="0.3">
      <c r="B24" s="41" t="s">
        <v>152</v>
      </c>
      <c r="C24" s="52">
        <f>IFERROR(('Historical FS'!C18-'Historical FS'!C24)/'Historical FS'!C21,0)</f>
        <v>0</v>
      </c>
      <c r="D24" s="52">
        <f>IFERROR(('Historical FS'!D18-'Historical FS'!D24)/'Historical FS'!D21,0)</f>
        <v>0</v>
      </c>
      <c r="E24" s="52">
        <f>IFERROR(('Historical FS'!E18-'Historical FS'!E24)/'Historical FS'!E21,0)</f>
        <v>0</v>
      </c>
      <c r="F24" s="52">
        <f>IFERROR(('Historical FS'!F18-'Historical FS'!F24)/'Historical FS'!F21,0)</f>
        <v>0</v>
      </c>
      <c r="G24" s="52">
        <f>IFERROR(('Historical FS'!G18-'Historical FS'!G24)/'Historical FS'!G21,0)</f>
        <v>113.96470588235294</v>
      </c>
      <c r="H24" s="52">
        <f>IFERROR(('Historical FS'!H18-'Historical FS'!H24)/'Historical FS'!H21,0)</f>
        <v>126.26666666666667</v>
      </c>
      <c r="I24" s="52">
        <f>IFERROR(('Historical FS'!I18-'Historical FS'!I24)/'Historical FS'!I21,0)</f>
        <v>140.07499999999999</v>
      </c>
      <c r="J24" s="52">
        <f>IFERROR(('Historical FS'!J18-'Historical FS'!J24)/'Historical FS'!J21,0)</f>
        <v>108.82042253521126</v>
      </c>
      <c r="K24" s="52">
        <f>IFERROR(('Historical FS'!K18-'Historical FS'!K24)/'Historical FS'!K21,0)</f>
        <v>67.5468085106383</v>
      </c>
      <c r="L24" s="52">
        <f>IFERROR(('Historical FS'!L18-'Historical FS'!L24)/'Historical FS'!L21,0)</f>
        <v>82.75</v>
      </c>
      <c r="M24" s="52"/>
      <c r="N24" s="52">
        <f t="shared" si="2"/>
        <v>63.942360359486919</v>
      </c>
      <c r="O24" s="52">
        <f t="shared" si="1"/>
        <v>75.14840425531915</v>
      </c>
    </row>
    <row r="26" spans="2:15" x14ac:dyDescent="0.3">
      <c r="B26" s="40" t="s">
        <v>153</v>
      </c>
      <c r="C26" s="50">
        <f>IFERROR('Historical FS'!C6/'Historical FS'!C59,0)</f>
        <v>5.5111209179170348</v>
      </c>
      <c r="D26" s="50">
        <f>IFERROR('Historical FS'!D6/'Historical FS'!D59,0)</f>
        <v>5.5578639831196233</v>
      </c>
      <c r="E26" s="50">
        <f>IFERROR('Historical FS'!E6/'Historical FS'!E59,0)</f>
        <v>5.3661543144118093</v>
      </c>
      <c r="F26" s="50">
        <f>IFERROR('Historical FS'!F6/'Historical FS'!F59,0)</f>
        <v>5.5759762595265396</v>
      </c>
      <c r="G26" s="50">
        <f>IFERROR('Historical FS'!G6/'Historical FS'!G59,0)</f>
        <v>4.9110726456428839</v>
      </c>
      <c r="H26" s="50">
        <f>IFERROR('Historical FS'!H6/'Historical FS'!H59,0)</f>
        <v>5.2074219964755883</v>
      </c>
      <c r="I26" s="50">
        <f>IFERROR('Historical FS'!I6/'Historical FS'!I59,0)</f>
        <v>5.3591065292096216</v>
      </c>
      <c r="J26" s="50">
        <f>IFERROR('Historical FS'!J6/'Historical FS'!J59,0)</f>
        <v>5.7727737570799249</v>
      </c>
      <c r="K26" s="50">
        <f>IFERROR('Historical FS'!K6/'Historical FS'!K59,0)</f>
        <v>5.0895903023879709</v>
      </c>
      <c r="L26" s="50">
        <f>IFERROR('Historical FS'!L6/'Historical FS'!L59,0)</f>
        <v>5.2310803004043906</v>
      </c>
      <c r="M26" s="50"/>
      <c r="N26" s="50">
        <f t="shared" si="2"/>
        <v>5.3582161006175379</v>
      </c>
      <c r="O26" s="50">
        <f t="shared" si="1"/>
        <v>5.3626304218107155</v>
      </c>
    </row>
    <row r="27" spans="2:15" x14ac:dyDescent="0.3">
      <c r="B27" t="s">
        <v>154</v>
      </c>
      <c r="C27" s="51">
        <f>IFERROR('Historical FS'!C6/'Historical FS'!C50,0)</f>
        <v>4.6758274674254903</v>
      </c>
      <c r="D27" s="51">
        <f>IFERROR('Historical FS'!D6/'Historical FS'!D50,0)</f>
        <v>4.8343922066920797</v>
      </c>
      <c r="E27" s="51">
        <f>IFERROR('Historical FS'!E6/'Historical FS'!E50,0)</f>
        <v>4.8885345903230277</v>
      </c>
      <c r="F27" s="51">
        <f>IFERROR('Historical FS'!F6/'Historical FS'!F50,0)</f>
        <v>4.3244586253792239</v>
      </c>
      <c r="G27" s="51">
        <f>IFERROR('Historical FS'!G6/'Historical FS'!G50,0)</f>
        <v>4.1806418934475298</v>
      </c>
      <c r="H27" s="51">
        <f>IFERROR('Historical FS'!H6/'Historical FS'!H50,0)</f>
        <v>3.8889878072382427</v>
      </c>
      <c r="I27" s="51">
        <f>IFERROR('Historical FS'!I6/'Historical FS'!I50,0)</f>
        <v>3.3878568444506336</v>
      </c>
      <c r="J27" s="51">
        <f>IFERROR('Historical FS'!J6/'Historical FS'!J50,0)</f>
        <v>3.5893127904133042</v>
      </c>
      <c r="K27" s="51">
        <f>IFERROR('Historical FS'!K6/'Historical FS'!K50,0)</f>
        <v>3.7585911703558761</v>
      </c>
      <c r="L27" s="51">
        <f>IFERROR('Historical FS'!L6/'Historical FS'!L50,0)</f>
        <v>3.7254857142857141</v>
      </c>
      <c r="M27" s="51"/>
      <c r="N27" s="51">
        <f t="shared" si="2"/>
        <v>4.1254089110011121</v>
      </c>
      <c r="O27" s="51">
        <f t="shared" si="1"/>
        <v>4.0348148503428867</v>
      </c>
    </row>
    <row r="28" spans="2:15" x14ac:dyDescent="0.3">
      <c r="B28" t="s">
        <v>47</v>
      </c>
      <c r="C28" s="51">
        <f>IFERROR('Historical FS'!C6/'Historical FS'!C60,0)</f>
        <v>0</v>
      </c>
      <c r="D28" s="51">
        <f>IFERROR('Historical FS'!D6/'Historical FS'!D60,0)</f>
        <v>0</v>
      </c>
      <c r="E28" s="51">
        <f>IFERROR('Historical FS'!E6/'Historical FS'!E60,0)</f>
        <v>0</v>
      </c>
      <c r="F28" s="51">
        <f>IFERROR('Historical FS'!F6/'Historical FS'!F60,0)</f>
        <v>0</v>
      </c>
      <c r="G28" s="51">
        <f>IFERROR('Historical FS'!G6/'Historical FS'!G60,0)</f>
        <v>0</v>
      </c>
      <c r="H28" s="51">
        <f>IFERROR('Historical FS'!H6/'Historical FS'!H60,0)</f>
        <v>0</v>
      </c>
      <c r="I28" s="51">
        <f>IFERROR('Historical FS'!I6/'Historical FS'!I60,0)</f>
        <v>0</v>
      </c>
      <c r="J28" s="51">
        <f>IFERROR('Historical FS'!J6/'Historical FS'!J60,0)</f>
        <v>0</v>
      </c>
      <c r="K28" s="51">
        <f>IFERROR('Historical FS'!K6/'Historical FS'!K60,0)</f>
        <v>0</v>
      </c>
      <c r="L28" s="51">
        <f>IFERROR('Historical FS'!L6/'Historical FS'!L60,0)</f>
        <v>0</v>
      </c>
      <c r="M28" s="51"/>
      <c r="N28" s="51">
        <f t="shared" si="2"/>
        <v>0</v>
      </c>
      <c r="O28" s="51">
        <f t="shared" si="1"/>
        <v>0</v>
      </c>
    </row>
    <row r="29" spans="2:15" x14ac:dyDescent="0.3">
      <c r="B29" t="s">
        <v>155</v>
      </c>
      <c r="C29" s="51">
        <f>IFERROR('Historical FS'!C6/'Historical FS'!C53,0)</f>
        <v>4.6646496339459134</v>
      </c>
      <c r="D29" s="51">
        <f>IFERROR('Historical FS'!D6/'Historical FS'!D53,0)</f>
        <v>4.8299597997037873</v>
      </c>
      <c r="E29" s="51">
        <f>IFERROR('Historical FS'!E6/'Historical FS'!E53,0)</f>
        <v>5.6085573405439799</v>
      </c>
      <c r="F29" s="51">
        <f>IFERROR('Historical FS'!F6/'Historical FS'!F53,0)</f>
        <v>5.2625716104392106</v>
      </c>
      <c r="G29" s="51">
        <f>IFERROR('Historical FS'!G6/'Historical FS'!G53,0)</f>
        <v>3.8165118332002188</v>
      </c>
      <c r="H29" s="51">
        <f>IFERROR('Historical FS'!H6/'Historical FS'!H53,0)</f>
        <v>3.9393060184277591</v>
      </c>
      <c r="I29" s="51">
        <f>IFERROR('Historical FS'!I6/'Historical FS'!I53,0)</f>
        <v>4.7147674418604648</v>
      </c>
      <c r="J29" s="51">
        <f>IFERROR('Historical FS'!J6/'Historical FS'!J53,0)</f>
        <v>5.0219674935842598</v>
      </c>
      <c r="K29" s="51">
        <f>IFERROR('Historical FS'!K6/'Historical FS'!K53,0)</f>
        <v>5.5633190934762142</v>
      </c>
      <c r="L29" s="51">
        <f>IFERROR('Historical FS'!L6/'Historical FS'!L53,0)</f>
        <v>5.2643648460967025</v>
      </c>
      <c r="M29" s="51"/>
      <c r="N29" s="51">
        <f t="shared" si="2"/>
        <v>4.8685975111278523</v>
      </c>
      <c r="O29" s="51">
        <f t="shared" si="1"/>
        <v>4.9259636466440231</v>
      </c>
    </row>
    <row r="30" spans="2:15" x14ac:dyDescent="0.3">
      <c r="B30" s="41" t="s">
        <v>156</v>
      </c>
      <c r="C30" s="52">
        <f>IFERROR('Historical FS'!C6/SUM('Historical FS'!C47:C48),0)</f>
        <v>1.0112885462555066</v>
      </c>
      <c r="D30" s="52">
        <f>IFERROR('Historical FS'!D6/SUM('Historical FS'!D47:D48),0)</f>
        <v>0.99278072540662776</v>
      </c>
      <c r="E30" s="52">
        <f>IFERROR('Historical FS'!E6/SUM('Historical FS'!E47:E48),0)</f>
        <v>1.0862406235078477</v>
      </c>
      <c r="F30" s="52">
        <f>IFERROR('Historical FS'!F6/SUM('Historical FS'!F47:F48),0)</f>
        <v>1.2729414300671307</v>
      </c>
      <c r="G30" s="52">
        <f>IFERROR('Historical FS'!G6/SUM('Historical FS'!G47:G48),0)</f>
        <v>1.3871810542398777</v>
      </c>
      <c r="H30" s="52">
        <f>IFERROR('Historical FS'!H6/SUM('Historical FS'!H47:H48),0)</f>
        <v>1.3159225157496299</v>
      </c>
      <c r="I30" s="52">
        <f>IFERROR('Historical FS'!I6/SUM('Historical FS'!I47:I48),0)</f>
        <v>1.6143463835434639</v>
      </c>
      <c r="J30" s="52">
        <f>IFERROR('Historical FS'!J6/SUM('Historical FS'!J47:J48),0)</f>
        <v>1.9463312424575967</v>
      </c>
      <c r="K30" s="52">
        <f>IFERROR('Historical FS'!K6/SUM('Historical FS'!K47:K48),0)</f>
        <v>1.7439511552952927</v>
      </c>
      <c r="L30" s="52">
        <f>IFERROR('Historical FS'!L6/SUM('Historical FS'!L47:L48),0)</f>
        <v>1.701037383372644</v>
      </c>
      <c r="M30" s="52"/>
      <c r="N30" s="52">
        <f t="shared" si="2"/>
        <v>1.4072021059895614</v>
      </c>
      <c r="O30" s="52">
        <f t="shared" si="1"/>
        <v>1.3515517849947538</v>
      </c>
    </row>
    <row r="32" spans="2:15" x14ac:dyDescent="0.3">
      <c r="B32" s="42" t="s">
        <v>46</v>
      </c>
      <c r="C32" s="53">
        <f>IFERROR(365/C26,0)</f>
        <v>66.229720856488527</v>
      </c>
      <c r="D32" s="53">
        <f t="shared" ref="D32:K32" si="6">IFERROR(365/D26,0)</f>
        <v>65.672711874306415</v>
      </c>
      <c r="E32" s="53">
        <f t="shared" si="6"/>
        <v>68.018916082924477</v>
      </c>
      <c r="F32" s="53">
        <f t="shared" si="6"/>
        <v>65.459389174478375</v>
      </c>
      <c r="G32" s="53">
        <f t="shared" si="6"/>
        <v>74.321849081957467</v>
      </c>
      <c r="H32" s="53">
        <f t="shared" si="6"/>
        <v>70.092264511505689</v>
      </c>
      <c r="I32" s="53">
        <f t="shared" si="6"/>
        <v>68.108368066688044</v>
      </c>
      <c r="J32" s="53">
        <f t="shared" si="6"/>
        <v>63.227837320378555</v>
      </c>
      <c r="K32" s="53">
        <f t="shared" si="6"/>
        <v>71.715006182078483</v>
      </c>
      <c r="L32" s="53">
        <f t="shared" ref="L32" si="7">IFERROR(365/L26,0)</f>
        <v>69.775262286029815</v>
      </c>
      <c r="M32" s="53"/>
      <c r="N32" s="53">
        <f t="shared" si="2"/>
        <v>68.262132543683578</v>
      </c>
      <c r="O32" s="53">
        <f t="shared" si="1"/>
        <v>68.063642074806268</v>
      </c>
    </row>
    <row r="33" spans="2:28" x14ac:dyDescent="0.3">
      <c r="B33" t="s">
        <v>157</v>
      </c>
      <c r="C33" s="54">
        <f>IFERROR(365/C27,0)</f>
        <v>78.061049630851528</v>
      </c>
      <c r="D33" s="54">
        <f t="shared" ref="D33:K33" si="8">IFERROR(365/D27,0)</f>
        <v>75.50070089363939</v>
      </c>
      <c r="E33" s="54">
        <f t="shared" si="8"/>
        <v>74.664501857576354</v>
      </c>
      <c r="F33" s="54">
        <f t="shared" si="8"/>
        <v>84.403628666465067</v>
      </c>
      <c r="G33" s="54">
        <f t="shared" si="8"/>
        <v>87.307167009945914</v>
      </c>
      <c r="H33" s="54">
        <f t="shared" si="8"/>
        <v>93.854755553786134</v>
      </c>
      <c r="I33" s="54">
        <f t="shared" si="8"/>
        <v>107.73772823307931</v>
      </c>
      <c r="J33" s="54">
        <f t="shared" si="8"/>
        <v>101.69077517425579</v>
      </c>
      <c r="K33" s="54">
        <f t="shared" si="8"/>
        <v>97.110854428320437</v>
      </c>
      <c r="L33" s="54">
        <f t="shared" ref="L33" si="9">IFERROR(365/L27,0)</f>
        <v>97.973802073746867</v>
      </c>
      <c r="M33" s="54"/>
      <c r="N33" s="54">
        <f t="shared" si="2"/>
        <v>89.830496352166691</v>
      </c>
      <c r="O33" s="54">
        <f t="shared" si="1"/>
        <v>90.580961281866024</v>
      </c>
    </row>
    <row r="34" spans="2:28" x14ac:dyDescent="0.3">
      <c r="B34" t="s">
        <v>158</v>
      </c>
      <c r="C34" s="54">
        <f>IFERROR(365/C28,0)</f>
        <v>0</v>
      </c>
      <c r="D34" s="54">
        <f t="shared" ref="D34:K34" si="10">IFERROR(365/D28,0)</f>
        <v>0</v>
      </c>
      <c r="E34" s="54">
        <f t="shared" si="10"/>
        <v>0</v>
      </c>
      <c r="F34" s="54">
        <f t="shared" si="10"/>
        <v>0</v>
      </c>
      <c r="G34" s="54">
        <f t="shared" si="10"/>
        <v>0</v>
      </c>
      <c r="H34" s="54">
        <f t="shared" si="10"/>
        <v>0</v>
      </c>
      <c r="I34" s="54">
        <f t="shared" si="10"/>
        <v>0</v>
      </c>
      <c r="J34" s="54">
        <f t="shared" si="10"/>
        <v>0</v>
      </c>
      <c r="K34" s="54">
        <f t="shared" si="10"/>
        <v>0</v>
      </c>
      <c r="L34" s="54">
        <f t="shared" ref="L34" si="11">IFERROR(365/L28,0)</f>
        <v>0</v>
      </c>
      <c r="M34" s="54"/>
      <c r="N34" s="54">
        <f t="shared" si="2"/>
        <v>0</v>
      </c>
      <c r="O34" s="54">
        <f t="shared" si="1"/>
        <v>0</v>
      </c>
    </row>
    <row r="35" spans="2:28" x14ac:dyDescent="0.3">
      <c r="B35" s="43" t="s">
        <v>159</v>
      </c>
      <c r="C35" s="55">
        <f>IFERROR(SUM(C32,C34)-C33,0)</f>
        <v>-11.831328774363001</v>
      </c>
      <c r="D35" s="55">
        <f t="shared" ref="D35:L35" si="12">IFERROR(SUM(D32,D34)-D33,0)</f>
        <v>-9.8279890193329749</v>
      </c>
      <c r="E35" s="55">
        <f t="shared" si="12"/>
        <v>-6.6455857746518774</v>
      </c>
      <c r="F35" s="55">
        <f t="shared" si="12"/>
        <v>-18.944239491986693</v>
      </c>
      <c r="G35" s="55">
        <f t="shared" si="12"/>
        <v>-12.985317927988447</v>
      </c>
      <c r="H35" s="55">
        <f t="shared" si="12"/>
        <v>-23.762491042280445</v>
      </c>
      <c r="I35" s="55">
        <f t="shared" si="12"/>
        <v>-39.629360166391265</v>
      </c>
      <c r="J35" s="55">
        <f t="shared" si="12"/>
        <v>-38.462937853877236</v>
      </c>
      <c r="K35" s="55">
        <f t="shared" si="12"/>
        <v>-25.395848246241954</v>
      </c>
      <c r="L35" s="55">
        <f t="shared" si="12"/>
        <v>-28.198539787717053</v>
      </c>
      <c r="M35" s="55"/>
      <c r="N35" s="55">
        <f t="shared" si="2"/>
        <v>-21.568363808483092</v>
      </c>
      <c r="O35" s="55">
        <f t="shared" si="1"/>
        <v>-21.353365267133569</v>
      </c>
    </row>
    <row r="37" spans="2:28" x14ac:dyDescent="0.3">
      <c r="B37" s="40" t="s">
        <v>160</v>
      </c>
      <c r="C37" s="44">
        <f>IFERROR('Historical FS'!C78/'Historical FS'!C6,0)</f>
        <v>0.11526080620105379</v>
      </c>
      <c r="D37" s="44">
        <f>IFERROR('Historical FS'!D78/'Historical FS'!D6,0)</f>
        <v>-7.7229717890310148E-2</v>
      </c>
      <c r="E37" s="44">
        <f>IFERROR('Historical FS'!E78/'Historical FS'!E6,0)</f>
        <v>0.25289980431638354</v>
      </c>
      <c r="F37" s="44">
        <f>IFERROR('Historical FS'!F78/'Historical FS'!F6,0)</f>
        <v>0.16638645297853039</v>
      </c>
      <c r="G37" s="44">
        <f>IFERROR('Historical FS'!G78/'Historical FS'!G6,0)</f>
        <v>0.15755967001134474</v>
      </c>
      <c r="H37" s="44">
        <f>IFERROR('Historical FS'!H78/'Historical FS'!H6,0)</f>
        <v>0.16540926825384186</v>
      </c>
      <c r="I37" s="44">
        <f>IFERROR('Historical FS'!I78/'Historical FS'!I6,0)</f>
        <v>0.13133729581308934</v>
      </c>
      <c r="J37" s="44">
        <f>IFERROR('Historical FS'!J78/'Historical FS'!J6,0)</f>
        <v>0.10255711433769171</v>
      </c>
      <c r="K37" s="44">
        <f>IFERROR('Historical FS'!K78/'Historical FS'!K6,0)</f>
        <v>9.783952625756491E-2</v>
      </c>
      <c r="L37" s="44">
        <f>IFERROR('Historical FS'!L78/'Historical FS'!L6,0)</f>
        <v>0.2057488189459476</v>
      </c>
      <c r="M37" s="44"/>
      <c r="N37" s="44">
        <f t="shared" si="2"/>
        <v>0.13177690392251376</v>
      </c>
      <c r="O37" s="44">
        <f t="shared" si="1"/>
        <v>0.14444848291221704</v>
      </c>
    </row>
    <row r="38" spans="2:28" x14ac:dyDescent="0.3">
      <c r="B38" t="s">
        <v>161</v>
      </c>
      <c r="C38" s="45">
        <f>IFERROR('Historical FS'!C78/'Historical FS'!C64,0)</f>
        <v>9.583477589283336E-2</v>
      </c>
      <c r="D38" s="45">
        <f>IFERROR('Historical FS'!D78/'Historical FS'!D64,0)</f>
        <v>-6.3609467455621307E-2</v>
      </c>
      <c r="E38" s="45">
        <f>IFERROR('Historical FS'!E78/'Historical FS'!E64,0)</f>
        <v>0.22476653770053812</v>
      </c>
      <c r="F38" s="45">
        <f>IFERROR('Historical FS'!F78/'Historical FS'!F64,0)</f>
        <v>0.16363333571241642</v>
      </c>
      <c r="G38" s="45">
        <f>IFERROR('Historical FS'!G78/'Historical FS'!G64,0)</f>
        <v>0.15582788671023964</v>
      </c>
      <c r="H38" s="45">
        <f>IFERROR('Historical FS'!H78/'Historical FS'!H64,0)</f>
        <v>0.15457953139678732</v>
      </c>
      <c r="I38" s="45">
        <f>IFERROR('Historical FS'!I78/'Historical FS'!I64,0)</f>
        <v>0.13686401836732945</v>
      </c>
      <c r="J38" s="45">
        <f>IFERROR('Historical FS'!J78/'Historical FS'!J64,0)</f>
        <v>0.12080644643487752</v>
      </c>
      <c r="K38" s="45">
        <f>IFERROR('Historical FS'!K78/'Historical FS'!K64,0)</f>
        <v>0.10945690157251019</v>
      </c>
      <c r="L38" s="45">
        <f>IFERROR('Historical FS'!L78/'Historical FS'!L64,0)</f>
        <v>0.22690212794749484</v>
      </c>
      <c r="M38" s="45"/>
      <c r="N38" s="45">
        <f t="shared" si="2"/>
        <v>0.13250620942794053</v>
      </c>
      <c r="O38" s="45">
        <f t="shared" si="1"/>
        <v>0.1457217748820584</v>
      </c>
    </row>
    <row r="39" spans="2:28" x14ac:dyDescent="0.3">
      <c r="B39" s="41" t="s">
        <v>162</v>
      </c>
      <c r="C39" s="47">
        <f>IFERROR('Historical FS'!C78/'Historical FS'!C49,0)</f>
        <v>0</v>
      </c>
      <c r="D39" s="47">
        <f>IFERROR('Historical FS'!D78/'Historical FS'!D49,0)</f>
        <v>0</v>
      </c>
      <c r="E39" s="47">
        <f>IFERROR('Historical FS'!E78/'Historical FS'!E49,0)</f>
        <v>0</v>
      </c>
      <c r="F39" s="47">
        <f>IFERROR('Historical FS'!F78/'Historical FS'!F49,0)</f>
        <v>0</v>
      </c>
      <c r="G39" s="47">
        <f>IFERROR('Historical FS'!G78/'Historical FS'!G49,0)</f>
        <v>3.0876322037556658</v>
      </c>
      <c r="H39" s="47">
        <f>IFERROR('Historical FS'!H78/'Historical FS'!H49,0)</f>
        <v>3.12093896713615</v>
      </c>
      <c r="I39" s="47">
        <f>IFERROR('Historical FS'!I78/'Historical FS'!I49,0)</f>
        <v>2.9185239313116549</v>
      </c>
      <c r="J39" s="47">
        <f>IFERROR('Historical FS'!J78/'Historical FS'!J49,0)</f>
        <v>1.8137124954813832</v>
      </c>
      <c r="K39" s="47">
        <f>IFERROR('Historical FS'!K78/'Historical FS'!K49,0)</f>
        <v>1.7986601268094269</v>
      </c>
      <c r="L39" s="47">
        <f>IFERROR('Historical FS'!L78/'Historical FS'!L49,0)</f>
        <v>4.0762124711316394</v>
      </c>
      <c r="M39" s="47"/>
      <c r="N39" s="47">
        <f t="shared" si="2"/>
        <v>1.6815680195625919</v>
      </c>
      <c r="O39" s="47">
        <f t="shared" si="1"/>
        <v>1.8061863111454051</v>
      </c>
    </row>
    <row r="43" spans="2:28" x14ac:dyDescent="0.3">
      <c r="K43" s="54"/>
    </row>
    <row r="44" spans="2:28" x14ac:dyDescent="0.3">
      <c r="O44" s="91" t="str">
        <f>"Ratio Analysis - "&amp;'Data Sheet'!O43</f>
        <v xml:space="preserve">Ratio Analysis - </v>
      </c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spans="2:28" x14ac:dyDescent="0.3"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21" t="s">
        <v>81</v>
      </c>
      <c r="P45" s="21">
        <f>'Data Sheet'!O58</f>
        <v>0</v>
      </c>
      <c r="Q45" s="21">
        <f>'Data Sheet'!P58</f>
        <v>0</v>
      </c>
      <c r="R45" s="21">
        <f>'Data Sheet'!Q58</f>
        <v>0</v>
      </c>
      <c r="S45" s="21">
        <f>'Data Sheet'!R58</f>
        <v>0</v>
      </c>
      <c r="T45" s="21">
        <f>'Data Sheet'!S58</f>
        <v>0</v>
      </c>
      <c r="U45" s="21">
        <f>'Data Sheet'!T58</f>
        <v>0</v>
      </c>
      <c r="V45" s="21">
        <f>'Data Sheet'!U58</f>
        <v>0</v>
      </c>
      <c r="W45" s="21">
        <f>'Data Sheet'!V58</f>
        <v>0</v>
      </c>
      <c r="X45" s="21">
        <f>'Data Sheet'!W58</f>
        <v>0</v>
      </c>
      <c r="Y45" s="21">
        <f>'Data Sheet'!X58</f>
        <v>0</v>
      </c>
      <c r="Z45" s="21" t="s">
        <v>163</v>
      </c>
      <c r="AA45" s="21" t="s">
        <v>164</v>
      </c>
      <c r="AB45" s="21" t="s">
        <v>165</v>
      </c>
    </row>
    <row r="47" spans="2:28" x14ac:dyDescent="0.3">
      <c r="O47" s="40" t="s">
        <v>137</v>
      </c>
      <c r="P47" s="56" t="s">
        <v>166</v>
      </c>
      <c r="Q47" s="44">
        <f>IFERROR('Historical FS'!Q49,0)</f>
        <v>0</v>
      </c>
      <c r="R47" s="44">
        <f>IFERROR('Historical FS'!R49,0)</f>
        <v>0</v>
      </c>
      <c r="S47" s="44">
        <f>IFERROR('Historical FS'!S49,0)</f>
        <v>0</v>
      </c>
      <c r="T47" s="44">
        <f>IFERROR('Historical FS'!T49,0)</f>
        <v>0</v>
      </c>
      <c r="U47" s="44">
        <f>IFERROR('Historical FS'!U49,0)</f>
        <v>0</v>
      </c>
      <c r="V47" s="44">
        <f>IFERROR('Historical FS'!V49,0)</f>
        <v>0</v>
      </c>
      <c r="W47" s="44">
        <f>IFERROR('Historical FS'!W49,0)</f>
        <v>0</v>
      </c>
      <c r="X47" s="44">
        <f>IFERROR('Historical FS'!X49,0)</f>
        <v>0</v>
      </c>
      <c r="Y47" s="44">
        <f>IFERROR('Historical FS'!Y49,0)</f>
        <v>0</v>
      </c>
      <c r="Z47" s="44"/>
      <c r="AA47" s="44">
        <f>IFERROR(AVERAGE(Q47:Y47,),0)</f>
        <v>0</v>
      </c>
      <c r="AB47" s="44">
        <f>MEDIAN(P47:Y47)</f>
        <v>0</v>
      </c>
    </row>
    <row r="48" spans="2:28" x14ac:dyDescent="0.3">
      <c r="O48" t="s">
        <v>138</v>
      </c>
      <c r="P48" s="57" t="s">
        <v>166</v>
      </c>
      <c r="Q48" s="45">
        <f>IFERROR('Historical FS'!Q60/'Historical FS'!P60-1,0)</f>
        <v>0</v>
      </c>
      <c r="R48" s="45">
        <f>IFERROR('Historical FS'!R60/'Historical FS'!Q60-1,0)</f>
        <v>0</v>
      </c>
      <c r="S48" s="45">
        <f>IFERROR('Historical FS'!S60/'Historical FS'!R60-1,0)</f>
        <v>0</v>
      </c>
      <c r="T48" s="45">
        <f>IFERROR('Historical FS'!T60/'Historical FS'!S60-1,0)</f>
        <v>0</v>
      </c>
      <c r="U48" s="45">
        <f>IFERROR('Historical FS'!U60/'Historical FS'!T60-1,0)</f>
        <v>0</v>
      </c>
      <c r="V48" s="45">
        <f>IFERROR('Historical FS'!V60/'Historical FS'!U60-1,0)</f>
        <v>0</v>
      </c>
      <c r="W48" s="45">
        <f>IFERROR('Historical FS'!W60/'Historical FS'!V60-1,0)</f>
        <v>0</v>
      </c>
      <c r="X48" s="45">
        <f>IFERROR('Historical FS'!X60/'Historical FS'!W60-1,0)</f>
        <v>0</v>
      </c>
      <c r="Y48" s="45">
        <f>IFERROR('Historical FS'!Y60/'Historical FS'!X60-1,0)</f>
        <v>0</v>
      </c>
      <c r="Z48" s="45"/>
      <c r="AA48" s="45">
        <f t="shared" ref="AA48:AA50" si="13">IFERROR(AVERAGE(Q48:Y48,),0)</f>
        <v>0</v>
      </c>
      <c r="AB48" s="45">
        <f t="shared" ref="AB48:AB50" si="14">MEDIAN(P48:Y48)</f>
        <v>0</v>
      </c>
    </row>
    <row r="49" spans="15:28" x14ac:dyDescent="0.3">
      <c r="O49" t="s">
        <v>139</v>
      </c>
      <c r="P49" s="57" t="s">
        <v>166</v>
      </c>
      <c r="Q49" s="45">
        <f>IFERROR('Historical FS'!Q69/'Historical FS'!P69-1,0)</f>
        <v>0</v>
      </c>
      <c r="R49" s="45">
        <f>IFERROR('Historical FS'!R69/'Historical FS'!Q69-1,0)</f>
        <v>0</v>
      </c>
      <c r="S49" s="45">
        <f>IFERROR('Historical FS'!S69/'Historical FS'!R69-1,0)</f>
        <v>0</v>
      </c>
      <c r="T49" s="45">
        <f>IFERROR('Historical FS'!T69/'Historical FS'!S69-1,0)</f>
        <v>0</v>
      </c>
      <c r="U49" s="45">
        <f>IFERROR('Historical FS'!U69/'Historical FS'!T69-1,0)</f>
        <v>0</v>
      </c>
      <c r="V49" s="45">
        <f>IFERROR('Historical FS'!V69/'Historical FS'!U69-1,0)</f>
        <v>0</v>
      </c>
      <c r="W49" s="45">
        <f>IFERROR('Historical FS'!W69/'Historical FS'!V69-1,0)</f>
        <v>0</v>
      </c>
      <c r="X49" s="45">
        <f>IFERROR('Historical FS'!X69/'Historical FS'!W69-1,0)</f>
        <v>0</v>
      </c>
      <c r="Y49" s="45">
        <f>IFERROR('Historical FS'!Y69/'Historical FS'!X69-1,0)</f>
        <v>0</v>
      </c>
      <c r="Z49" s="45"/>
      <c r="AA49" s="45">
        <f t="shared" si="13"/>
        <v>0</v>
      </c>
      <c r="AB49" s="45">
        <f t="shared" si="14"/>
        <v>0</v>
      </c>
    </row>
    <row r="50" spans="15:28" x14ac:dyDescent="0.3">
      <c r="O50" s="41" t="s">
        <v>140</v>
      </c>
      <c r="P50" s="58" t="s">
        <v>166</v>
      </c>
      <c r="Q50" s="47">
        <f>IFERROR('Historical FS'!Q75/'Historical FS'!P75-1,0)</f>
        <v>0</v>
      </c>
      <c r="R50" s="47">
        <f>IFERROR('Historical FS'!R75/'Historical FS'!Q75-1,0)</f>
        <v>0</v>
      </c>
      <c r="S50" s="47">
        <f>IFERROR('Historical FS'!S75/'Historical FS'!R75-1,0)</f>
        <v>0</v>
      </c>
      <c r="T50" s="47">
        <f>IFERROR('Historical FS'!T75/'Historical FS'!S75-1,0)</f>
        <v>0</v>
      </c>
      <c r="U50" s="47">
        <f>IFERROR('Historical FS'!U75/'Historical FS'!T75-1,0)</f>
        <v>0</v>
      </c>
      <c r="V50" s="47">
        <f>IFERROR('Historical FS'!V75/'Historical FS'!U75-1,0)</f>
        <v>0</v>
      </c>
      <c r="W50" s="47">
        <f>IFERROR('Historical FS'!W75/'Historical FS'!V75-1,0)</f>
        <v>0</v>
      </c>
      <c r="X50" s="47">
        <f>IFERROR('Historical FS'!X75/'Historical FS'!W75-1,0)</f>
        <v>0</v>
      </c>
      <c r="Y50" s="47">
        <f>IFERROR('Historical FS'!Y75/'Historical FS'!X75-1,0)</f>
        <v>0</v>
      </c>
      <c r="Z50" s="47"/>
      <c r="AA50" s="47">
        <f t="shared" si="13"/>
        <v>0</v>
      </c>
      <c r="AB50" s="47">
        <f t="shared" si="14"/>
        <v>0</v>
      </c>
    </row>
    <row r="51" spans="15:28" x14ac:dyDescent="0.3">
      <c r="Q51" s="46"/>
      <c r="R51" s="46"/>
      <c r="S51" s="46"/>
      <c r="T51" s="46"/>
      <c r="U51" s="46"/>
      <c r="V51" s="46"/>
      <c r="W51" s="46"/>
      <c r="X51" s="46"/>
      <c r="Y51" s="46"/>
      <c r="AA51" s="45"/>
      <c r="AB51" s="45"/>
    </row>
    <row r="52" spans="15:28" x14ac:dyDescent="0.3">
      <c r="O52" s="40" t="s">
        <v>94</v>
      </c>
      <c r="P52" s="44">
        <f>IFERROR('Historical FS'!P55,0)</f>
        <v>0</v>
      </c>
      <c r="Q52" s="44">
        <f>IFERROR('Historical FS'!Q55,0)</f>
        <v>0</v>
      </c>
      <c r="R52" s="44">
        <f>IFERROR('Historical FS'!R55,0)</f>
        <v>0</v>
      </c>
      <c r="S52" s="44">
        <f>IFERROR('Historical FS'!S55,0)</f>
        <v>0</v>
      </c>
      <c r="T52" s="44">
        <f>IFERROR('Historical FS'!T55,0)</f>
        <v>0</v>
      </c>
      <c r="U52" s="44">
        <f>IFERROR('Historical FS'!U55,0)</f>
        <v>0</v>
      </c>
      <c r="V52" s="44">
        <f>IFERROR('Historical FS'!V55,0)</f>
        <v>0</v>
      </c>
      <c r="W52" s="44">
        <f>IFERROR('Historical FS'!W55,0)</f>
        <v>0</v>
      </c>
      <c r="X52" s="44">
        <f>IFERROR('Historical FS'!X55,0)</f>
        <v>0</v>
      </c>
      <c r="Y52" s="44">
        <f>IFERROR('Historical FS'!Y55,0)</f>
        <v>0</v>
      </c>
      <c r="Z52" s="44"/>
      <c r="AA52" s="44">
        <f>IFERROR(AVERAGE(P52:Y52),0)</f>
        <v>0</v>
      </c>
      <c r="AB52" s="44">
        <f t="shared" ref="AB52:AB56" si="15">MEDIAN(P52:Y52)</f>
        <v>0</v>
      </c>
    </row>
    <row r="53" spans="15:28" x14ac:dyDescent="0.3">
      <c r="O53" t="s">
        <v>141</v>
      </c>
      <c r="P53" s="45">
        <f>IFERROR('Historical FS'!P61,0)</f>
        <v>0</v>
      </c>
      <c r="Q53" s="45">
        <f>IFERROR('Historical FS'!Q61,0)</f>
        <v>0</v>
      </c>
      <c r="R53" s="45">
        <f>IFERROR('Historical FS'!R61,0)</f>
        <v>0</v>
      </c>
      <c r="S53" s="45">
        <f>IFERROR('Historical FS'!S61,0)</f>
        <v>0</v>
      </c>
      <c r="T53" s="45">
        <f>IFERROR('Historical FS'!T61,0)</f>
        <v>0</v>
      </c>
      <c r="U53" s="45">
        <f>IFERROR('Historical FS'!U61,0)</f>
        <v>0</v>
      </c>
      <c r="V53" s="45">
        <f>IFERROR('Historical FS'!V61,0)</f>
        <v>0</v>
      </c>
      <c r="W53" s="45">
        <f>IFERROR('Historical FS'!W61,0)</f>
        <v>0</v>
      </c>
      <c r="X53" s="45">
        <f>IFERROR('Historical FS'!X61,0)</f>
        <v>0</v>
      </c>
      <c r="Y53" s="45">
        <f>IFERROR('Historical FS'!Y61,0)</f>
        <v>0</v>
      </c>
      <c r="Z53" s="45"/>
      <c r="AA53" s="45">
        <f t="shared" ref="AA53:AA56" si="16">IFERROR(AVERAGE(P53:Y53),0)</f>
        <v>0</v>
      </c>
      <c r="AB53" s="45">
        <f t="shared" si="15"/>
        <v>0</v>
      </c>
    </row>
    <row r="54" spans="15:28" x14ac:dyDescent="0.3">
      <c r="O54" t="s">
        <v>142</v>
      </c>
      <c r="P54" s="45">
        <f>IFERROR(('Historical FS'!P60-'Historical FS'!P66)/'Historical FS'!P48,0)</f>
        <v>0</v>
      </c>
      <c r="Q54" s="45">
        <f>IFERROR(('Historical FS'!Q60-'Historical FS'!Q66)/'Historical FS'!Q48,0)</f>
        <v>0</v>
      </c>
      <c r="R54" s="45">
        <f>IFERROR(('Historical FS'!R60-'Historical FS'!R66)/'Historical FS'!R48,0)</f>
        <v>0</v>
      </c>
      <c r="S54" s="45">
        <f>IFERROR(('Historical FS'!S60-'Historical FS'!S66)/'Historical FS'!S48,0)</f>
        <v>0</v>
      </c>
      <c r="T54" s="45">
        <f>IFERROR(('Historical FS'!T60-'Historical FS'!T66)/'Historical FS'!T48,0)</f>
        <v>0</v>
      </c>
      <c r="U54" s="45">
        <f>IFERROR(('Historical FS'!U60-'Historical FS'!U66)/'Historical FS'!U48,0)</f>
        <v>0</v>
      </c>
      <c r="V54" s="45">
        <f>IFERROR(('Historical FS'!V60-'Historical FS'!V66)/'Historical FS'!V48,0)</f>
        <v>0</v>
      </c>
      <c r="W54" s="45">
        <f>IFERROR(('Historical FS'!W60-'Historical FS'!W66)/'Historical FS'!W48,0)</f>
        <v>0</v>
      </c>
      <c r="X54" s="45">
        <f>IFERROR(('Historical FS'!X60-'Historical FS'!X66)/'Historical FS'!X48,0)</f>
        <v>0</v>
      </c>
      <c r="Y54" s="45">
        <f>IFERROR(('Historical FS'!Y60-'Historical FS'!Y66)/'Historical FS'!Y48,0)</f>
        <v>0</v>
      </c>
      <c r="Z54" s="45"/>
      <c r="AA54" s="45">
        <f t="shared" si="16"/>
        <v>0</v>
      </c>
      <c r="AB54" s="45">
        <f t="shared" si="15"/>
        <v>0</v>
      </c>
    </row>
    <row r="55" spans="15:28" x14ac:dyDescent="0.3">
      <c r="O55" t="s">
        <v>143</v>
      </c>
      <c r="P55" s="45">
        <f>IFERROR('Historical FS'!P70,0)</f>
        <v>0</v>
      </c>
      <c r="Q55" s="45">
        <f>IFERROR('Historical FS'!Q70,0)</f>
        <v>0</v>
      </c>
      <c r="R55" s="45">
        <f>IFERROR('Historical FS'!R70,0)</f>
        <v>0</v>
      </c>
      <c r="S55" s="45">
        <f>IFERROR('Historical FS'!S70,0)</f>
        <v>0</v>
      </c>
      <c r="T55" s="45">
        <f>IFERROR('Historical FS'!T70,0)</f>
        <v>0</v>
      </c>
      <c r="U55" s="45">
        <f>IFERROR('Historical FS'!U70,0)</f>
        <v>0</v>
      </c>
      <c r="V55" s="45">
        <f>IFERROR('Historical FS'!V70,0)</f>
        <v>0</v>
      </c>
      <c r="W55" s="45">
        <f>IFERROR('Historical FS'!W70,0)</f>
        <v>0</v>
      </c>
      <c r="X55" s="45">
        <f>IFERROR('Historical FS'!X70,0)</f>
        <v>0</v>
      </c>
      <c r="Y55" s="45">
        <f>IFERROR('Historical FS'!Y70,0)</f>
        <v>0</v>
      </c>
      <c r="Z55" s="45"/>
      <c r="AA55" s="45">
        <f t="shared" si="16"/>
        <v>0</v>
      </c>
      <c r="AB55" s="45">
        <f t="shared" si="15"/>
        <v>0</v>
      </c>
    </row>
    <row r="56" spans="15:28" x14ac:dyDescent="0.3">
      <c r="O56" s="41" t="s">
        <v>144</v>
      </c>
      <c r="P56" s="47">
        <f>IFERROR('Historical FS'!P76,0)</f>
        <v>0</v>
      </c>
      <c r="Q56" s="47">
        <f>IFERROR('Historical FS'!Q76,0)</f>
        <v>0</v>
      </c>
      <c r="R56" s="47">
        <f>IFERROR('Historical FS'!R76,0)</f>
        <v>0</v>
      </c>
      <c r="S56" s="47">
        <f>IFERROR('Historical FS'!S76,0)</f>
        <v>0</v>
      </c>
      <c r="T56" s="47">
        <f>IFERROR('Historical FS'!T76,0)</f>
        <v>0</v>
      </c>
      <c r="U56" s="47">
        <f>IFERROR('Historical FS'!U76,0)</f>
        <v>0</v>
      </c>
      <c r="V56" s="47">
        <f>IFERROR('Historical FS'!V76,0)</f>
        <v>0</v>
      </c>
      <c r="W56" s="47">
        <f>IFERROR('Historical FS'!W76,0)</f>
        <v>0</v>
      </c>
      <c r="X56" s="47">
        <f>IFERROR('Historical FS'!X76,0)</f>
        <v>0</v>
      </c>
      <c r="Y56" s="47">
        <f>IFERROR('Historical FS'!Y76,0)</f>
        <v>0</v>
      </c>
      <c r="Z56" s="47"/>
      <c r="AA56" s="47">
        <f t="shared" si="16"/>
        <v>0</v>
      </c>
      <c r="AB56" s="47">
        <f t="shared" si="15"/>
        <v>0</v>
      </c>
    </row>
    <row r="57" spans="15:28" x14ac:dyDescent="0.3">
      <c r="AA57" s="45"/>
      <c r="AB57" s="45"/>
    </row>
    <row r="58" spans="15:28" x14ac:dyDescent="0.3">
      <c r="O58" s="42" t="s">
        <v>145</v>
      </c>
      <c r="P58" s="49">
        <f>IFERROR('Historical FS'!P58,0)</f>
        <v>0</v>
      </c>
      <c r="Q58" s="49">
        <f>IFERROR('Historical FS'!Q58,0)</f>
        <v>0</v>
      </c>
      <c r="R58" s="49">
        <f>IFERROR('Historical FS'!R58,0)</f>
        <v>0</v>
      </c>
      <c r="S58" s="49">
        <f>IFERROR('Historical FS'!S58,0)</f>
        <v>0</v>
      </c>
      <c r="T58" s="49">
        <f>IFERROR('Historical FS'!T58,0)</f>
        <v>0</v>
      </c>
      <c r="U58" s="49">
        <f>IFERROR('Historical FS'!U58,0)</f>
        <v>0</v>
      </c>
      <c r="V58" s="49">
        <f>IFERROR('Historical FS'!V58,0)</f>
        <v>0</v>
      </c>
      <c r="W58" s="49">
        <f>IFERROR('Historical FS'!W58,0)</f>
        <v>0</v>
      </c>
      <c r="X58" s="49">
        <f>IFERROR('Historical FS'!X58,0)</f>
        <v>0</v>
      </c>
      <c r="Y58" s="49">
        <f>IFERROR('Historical FS'!Y58,0)</f>
        <v>0</v>
      </c>
      <c r="Z58" s="44"/>
      <c r="AA58" s="44">
        <f t="shared" ref="AA58:AA60" si="17">IFERROR(AVERAGE(P58:Y58),0)</f>
        <v>0</v>
      </c>
      <c r="AB58" s="44">
        <f t="shared" ref="AB58:AB60" si="18">MEDIAN(P58:Y58)</f>
        <v>0</v>
      </c>
    </row>
    <row r="59" spans="15:28" x14ac:dyDescent="0.3">
      <c r="O59" t="s">
        <v>146</v>
      </c>
      <c r="P59" s="45">
        <f>IFERROR('Historical FS'!P67,0)</f>
        <v>0</v>
      </c>
      <c r="Q59" s="45">
        <f>IFERROR('Historical FS'!Q67,0)</f>
        <v>0</v>
      </c>
      <c r="R59" s="45">
        <f>IFERROR('Historical FS'!R67,0)</f>
        <v>0</v>
      </c>
      <c r="S59" s="45">
        <f>IFERROR('Historical FS'!S67,0)</f>
        <v>0</v>
      </c>
      <c r="T59" s="45">
        <f>IFERROR('Historical FS'!T67,0)</f>
        <v>0</v>
      </c>
      <c r="U59" s="45">
        <f>IFERROR('Historical FS'!U67,0)</f>
        <v>0</v>
      </c>
      <c r="V59" s="45">
        <f>IFERROR('Historical FS'!V67,0)</f>
        <v>0</v>
      </c>
      <c r="W59" s="45">
        <f>IFERROR('Historical FS'!W67,0)</f>
        <v>0</v>
      </c>
      <c r="X59" s="45">
        <f>IFERROR('Historical FS'!X67,0)</f>
        <v>0</v>
      </c>
      <c r="Y59" s="45">
        <f>IFERROR('Historical FS'!Y67,0)</f>
        <v>0</v>
      </c>
      <c r="Z59" s="45"/>
      <c r="AA59" s="45">
        <f t="shared" si="17"/>
        <v>0</v>
      </c>
      <c r="AB59" s="45">
        <f t="shared" si="18"/>
        <v>0</v>
      </c>
    </row>
    <row r="60" spans="15:28" x14ac:dyDescent="0.3">
      <c r="O60" s="43" t="s">
        <v>147</v>
      </c>
      <c r="P60" s="48">
        <f>P54</f>
        <v>0</v>
      </c>
      <c r="Q60" s="48">
        <f t="shared" ref="Q60:Y60" si="19">Q54</f>
        <v>0</v>
      </c>
      <c r="R60" s="48">
        <f t="shared" si="19"/>
        <v>0</v>
      </c>
      <c r="S60" s="48">
        <f t="shared" si="19"/>
        <v>0</v>
      </c>
      <c r="T60" s="48">
        <f t="shared" si="19"/>
        <v>0</v>
      </c>
      <c r="U60" s="48">
        <f t="shared" si="19"/>
        <v>0</v>
      </c>
      <c r="V60" s="48">
        <f t="shared" si="19"/>
        <v>0</v>
      </c>
      <c r="W60" s="48">
        <f t="shared" si="19"/>
        <v>0</v>
      </c>
      <c r="X60" s="48">
        <f t="shared" si="19"/>
        <v>0</v>
      </c>
      <c r="Y60" s="48">
        <f t="shared" si="19"/>
        <v>0</v>
      </c>
      <c r="Z60" s="48"/>
      <c r="AA60" s="48">
        <f t="shared" si="17"/>
        <v>0</v>
      </c>
      <c r="AB60" s="48">
        <f t="shared" si="18"/>
        <v>0</v>
      </c>
    </row>
    <row r="61" spans="15:28" x14ac:dyDescent="0.3">
      <c r="AA61" s="45"/>
      <c r="AB61" s="45"/>
    </row>
    <row r="62" spans="15:28" x14ac:dyDescent="0.3">
      <c r="O62" s="40" t="s">
        <v>148</v>
      </c>
      <c r="P62" s="44">
        <f>IFERROR(('Historical FS'!P60-'Historical FS'!P66)/SUM('Historical FS'!P89:P91),0)</f>
        <v>0</v>
      </c>
      <c r="Q62" s="44">
        <f>IFERROR(('Historical FS'!Q60-'Historical FS'!Q66)/SUM('Historical FS'!Q89:Q91),0)</f>
        <v>0</v>
      </c>
      <c r="R62" s="44">
        <f>IFERROR(('Historical FS'!R60-'Historical FS'!R66)/SUM('Historical FS'!R89:R91),0)</f>
        <v>0</v>
      </c>
      <c r="S62" s="44">
        <f>IFERROR(('Historical FS'!S60-'Historical FS'!S66)/SUM('Historical FS'!S89:S91),0)</f>
        <v>0</v>
      </c>
      <c r="T62" s="44">
        <f>IFERROR(('Historical FS'!T60-'Historical FS'!T66)/SUM('Historical FS'!T89:T91),0)</f>
        <v>0</v>
      </c>
      <c r="U62" s="44">
        <f>IFERROR(('Historical FS'!U60-'Historical FS'!U66)/SUM('Historical FS'!U89:U91),0)</f>
        <v>0</v>
      </c>
      <c r="V62" s="44">
        <f>IFERROR(('Historical FS'!V60-'Historical FS'!V66)/SUM('Historical FS'!V89:V91),0)</f>
        <v>0</v>
      </c>
      <c r="W62" s="44">
        <f>IFERROR(('Historical FS'!W60-'Historical FS'!W66)/SUM('Historical FS'!W89:W91),0)</f>
        <v>0</v>
      </c>
      <c r="X62" s="44">
        <f>IFERROR(('Historical FS'!X60-'Historical FS'!X66)/SUM('Historical FS'!X89:X91),0)</f>
        <v>0</v>
      </c>
      <c r="Y62" s="44">
        <f>IFERROR(('Historical FS'!Y60-'Historical FS'!Y66)/SUM('Historical FS'!Y89:Y91),0)</f>
        <v>0</v>
      </c>
      <c r="Z62" s="44"/>
      <c r="AA62" s="44">
        <f t="shared" ref="AA62" si="20">IFERROR(AVERAGE(P62:Y62),0)</f>
        <v>0</v>
      </c>
      <c r="AB62" s="44">
        <f t="shared" ref="AB62:AB66" si="21">MEDIAN(P62:Y62)</f>
        <v>0</v>
      </c>
    </row>
    <row r="63" spans="15:28" x14ac:dyDescent="0.3">
      <c r="O63" t="s">
        <v>149</v>
      </c>
      <c r="P63" s="59">
        <f>'Historical FS'!P86</f>
        <v>0</v>
      </c>
      <c r="Q63" s="59">
        <f>'Historical FS'!Q86</f>
        <v>0</v>
      </c>
      <c r="R63" s="59">
        <f>'Historical FS'!R86</f>
        <v>0</v>
      </c>
      <c r="S63" s="59">
        <f>'Historical FS'!S86</f>
        <v>0</v>
      </c>
      <c r="T63" s="59">
        <f>'Historical FS'!T86</f>
        <v>0</v>
      </c>
      <c r="U63" s="59">
        <f>'Historical FS'!U86</f>
        <v>0</v>
      </c>
      <c r="V63" s="59">
        <f>'Historical FS'!V86</f>
        <v>0</v>
      </c>
      <c r="W63" s="59">
        <f>'Historical FS'!W86</f>
        <v>0</v>
      </c>
      <c r="X63" s="59">
        <f>'Historical FS'!X86</f>
        <v>0</v>
      </c>
      <c r="Y63" s="59">
        <f>'Historical FS'!Y86</f>
        <v>0</v>
      </c>
      <c r="Z63" s="45"/>
      <c r="AA63" s="45">
        <f>IFERROR(AVERAGE(P63:Y63),0)</f>
        <v>0</v>
      </c>
      <c r="AB63" s="45">
        <f t="shared" si="21"/>
        <v>0</v>
      </c>
    </row>
    <row r="64" spans="15:28" x14ac:dyDescent="0.3">
      <c r="O64" t="s">
        <v>150</v>
      </c>
      <c r="P64" s="45">
        <f>IFERROR(('Historical FS'!P75)/SUM('Historical FS'!P89:P90),0)</f>
        <v>0</v>
      </c>
      <c r="Q64" s="45">
        <f>IFERROR(('Historical FS'!Q75)/SUM('Historical FS'!Q89:Q90),0)</f>
        <v>0</v>
      </c>
      <c r="R64" s="45">
        <f>IFERROR(('Historical FS'!R75)/SUM('Historical FS'!R89:R90),0)</f>
        <v>0</v>
      </c>
      <c r="S64" s="45">
        <f>IFERROR(('Historical FS'!S75)/SUM('Historical FS'!S89:S90),0)</f>
        <v>0</v>
      </c>
      <c r="T64" s="45">
        <f>IFERROR(('Historical FS'!T75)/SUM('Historical FS'!T89:T90),0)</f>
        <v>0</v>
      </c>
      <c r="U64" s="45">
        <f>IFERROR(('Historical FS'!U75)/SUM('Historical FS'!U89:U90),0)</f>
        <v>0</v>
      </c>
      <c r="V64" s="45">
        <f>IFERROR(('Historical FS'!V75)/SUM('Historical FS'!V89:V90),0)</f>
        <v>0</v>
      </c>
      <c r="W64" s="45">
        <f>IFERROR(('Historical FS'!W75)/SUM('Historical FS'!W89:W90),0)</f>
        <v>0</v>
      </c>
      <c r="X64" s="45">
        <f>IFERROR(('Historical FS'!X75)/SUM('Historical FS'!X89:X90),0)</f>
        <v>0</v>
      </c>
      <c r="Y64" s="45">
        <f>IFERROR(('Historical FS'!Y75)/SUM('Historical FS'!Y89:Y90),0)</f>
        <v>0</v>
      </c>
      <c r="Z64" s="45"/>
      <c r="AA64" s="45">
        <f t="shared" ref="AA64" si="22">IFERROR(AVERAGE(P64:Y64),0)</f>
        <v>0</v>
      </c>
      <c r="AB64" s="45">
        <f t="shared" si="21"/>
        <v>0</v>
      </c>
    </row>
    <row r="65" spans="15:28" x14ac:dyDescent="0.3">
      <c r="O65" t="s">
        <v>151</v>
      </c>
      <c r="P65" s="59">
        <f>P63*P64</f>
        <v>0</v>
      </c>
      <c r="Q65" s="59">
        <f t="shared" ref="Q65:Y65" si="23">Q63*Q64</f>
        <v>0</v>
      </c>
      <c r="R65" s="59">
        <f t="shared" si="23"/>
        <v>0</v>
      </c>
      <c r="S65" s="59">
        <f t="shared" si="23"/>
        <v>0</v>
      </c>
      <c r="T65" s="59">
        <f t="shared" si="23"/>
        <v>0</v>
      </c>
      <c r="U65" s="59">
        <f t="shared" si="23"/>
        <v>0</v>
      </c>
      <c r="V65" s="59">
        <f t="shared" si="23"/>
        <v>0</v>
      </c>
      <c r="W65" s="59">
        <f t="shared" si="23"/>
        <v>0</v>
      </c>
      <c r="X65" s="59">
        <f t="shared" si="23"/>
        <v>0</v>
      </c>
      <c r="Y65" s="59">
        <f t="shared" si="23"/>
        <v>0</v>
      </c>
      <c r="Z65" s="45"/>
      <c r="AA65" s="45">
        <f>IFERROR(AVERAGE(P65:Y65),0)</f>
        <v>0</v>
      </c>
      <c r="AB65" s="45">
        <f t="shared" si="21"/>
        <v>0</v>
      </c>
    </row>
    <row r="66" spans="15:28" x14ac:dyDescent="0.3">
      <c r="O66" s="41" t="s">
        <v>152</v>
      </c>
      <c r="P66" s="52">
        <f>IFERROR(('Historical FS'!P60-'Historical FS'!P66)/'Historical FS'!P63,0)</f>
        <v>0</v>
      </c>
      <c r="Q66" s="52">
        <f>IFERROR(('Historical FS'!Q60-'Historical FS'!Q66)/'Historical FS'!Q63,0)</f>
        <v>0</v>
      </c>
      <c r="R66" s="52">
        <f>IFERROR(('Historical FS'!R60-'Historical FS'!R66)/'Historical FS'!R63,0)</f>
        <v>0</v>
      </c>
      <c r="S66" s="52">
        <f>IFERROR(('Historical FS'!S60-'Historical FS'!S66)/'Historical FS'!S63,0)</f>
        <v>0</v>
      </c>
      <c r="T66" s="52">
        <f>IFERROR(('Historical FS'!T60-'Historical FS'!T66)/'Historical FS'!T63,0)</f>
        <v>0</v>
      </c>
      <c r="U66" s="52">
        <f>IFERROR(('Historical FS'!U60-'Historical FS'!U66)/'Historical FS'!U63,0)</f>
        <v>0</v>
      </c>
      <c r="V66" s="52">
        <f>IFERROR(('Historical FS'!V60-'Historical FS'!V66)/'Historical FS'!V63,0)</f>
        <v>0</v>
      </c>
      <c r="W66" s="52">
        <f>IFERROR(('Historical FS'!W60-'Historical FS'!W66)/'Historical FS'!W63,0)</f>
        <v>0</v>
      </c>
      <c r="X66" s="52">
        <f>IFERROR(('Historical FS'!X60-'Historical FS'!X66)/'Historical FS'!X63,0)</f>
        <v>0</v>
      </c>
      <c r="Y66" s="52">
        <f>IFERROR(('Historical FS'!Y60-'Historical FS'!Y66)/'Historical FS'!Y63,0)</f>
        <v>0</v>
      </c>
      <c r="Z66" s="52"/>
      <c r="AA66" s="52">
        <f t="shared" ref="AA66" si="24">IFERROR(AVERAGE(P66:Y66),0)</f>
        <v>0</v>
      </c>
      <c r="AB66" s="52">
        <f t="shared" si="21"/>
        <v>0</v>
      </c>
    </row>
    <row r="68" spans="15:28" x14ac:dyDescent="0.3">
      <c r="O68" s="40" t="s">
        <v>153</v>
      </c>
      <c r="P68" s="50">
        <f>IFERROR('Historical FS'!P48/'Historical FS'!P101,0)</f>
        <v>0</v>
      </c>
      <c r="Q68" s="50">
        <f>IFERROR('Historical FS'!Q48/'Historical FS'!Q101,0)</f>
        <v>0</v>
      </c>
      <c r="R68" s="50">
        <f>IFERROR('Historical FS'!R48/'Historical FS'!R101,0)</f>
        <v>0</v>
      </c>
      <c r="S68" s="50">
        <f>IFERROR('Historical FS'!S48/'Historical FS'!S101,0)</f>
        <v>0</v>
      </c>
      <c r="T68" s="50">
        <f>IFERROR('Historical FS'!T48/'Historical FS'!T101,0)</f>
        <v>0</v>
      </c>
      <c r="U68" s="50">
        <f>IFERROR('Historical FS'!U48/'Historical FS'!U101,0)</f>
        <v>0</v>
      </c>
      <c r="V68" s="50">
        <f>IFERROR('Historical FS'!V48/'Historical FS'!V101,0)</f>
        <v>0</v>
      </c>
      <c r="W68" s="50">
        <f>IFERROR('Historical FS'!W48/'Historical FS'!W101,0)</f>
        <v>0</v>
      </c>
      <c r="X68" s="50">
        <f>IFERROR('Historical FS'!X48/'Historical FS'!X101,0)</f>
        <v>0</v>
      </c>
      <c r="Y68" s="50">
        <f>IFERROR('Historical FS'!Y48/'Historical FS'!Y101,0)</f>
        <v>0</v>
      </c>
      <c r="Z68" s="50"/>
      <c r="AA68" s="50">
        <f t="shared" ref="AA68:AA72" si="25">IFERROR(AVERAGE(P68:Y68),0)</f>
        <v>0</v>
      </c>
      <c r="AB68" s="50">
        <f t="shared" ref="AB68:AB72" si="26">MEDIAN(P68:Y68)</f>
        <v>0</v>
      </c>
    </row>
    <row r="69" spans="15:28" x14ac:dyDescent="0.3">
      <c r="O69" t="s">
        <v>154</v>
      </c>
      <c r="P69" s="51">
        <f>IFERROR('Historical FS'!P48/'Historical FS'!P92,0)</f>
        <v>0</v>
      </c>
      <c r="Q69" s="51">
        <f>IFERROR('Historical FS'!Q48/'Historical FS'!Q92,0)</f>
        <v>0</v>
      </c>
      <c r="R69" s="51">
        <f>IFERROR('Historical FS'!R48/'Historical FS'!R92,0)</f>
        <v>0</v>
      </c>
      <c r="S69" s="51">
        <f>IFERROR('Historical FS'!S48/'Historical FS'!S92,0)</f>
        <v>0</v>
      </c>
      <c r="T69" s="51">
        <f>IFERROR('Historical FS'!T48/'Historical FS'!T92,0)</f>
        <v>0</v>
      </c>
      <c r="U69" s="51">
        <f>IFERROR('Historical FS'!U48/'Historical FS'!U92,0)</f>
        <v>0</v>
      </c>
      <c r="V69" s="51">
        <f>IFERROR('Historical FS'!V48/'Historical FS'!V92,0)</f>
        <v>0</v>
      </c>
      <c r="W69" s="51">
        <f>IFERROR('Historical FS'!W48/'Historical FS'!W92,0)</f>
        <v>0</v>
      </c>
      <c r="X69" s="51">
        <f>IFERROR('Historical FS'!X48/'Historical FS'!X92,0)</f>
        <v>0</v>
      </c>
      <c r="Y69" s="51">
        <f>IFERROR('Historical FS'!Y48/'Historical FS'!Y92,0)</f>
        <v>0</v>
      </c>
      <c r="Z69" s="51"/>
      <c r="AA69" s="51">
        <f t="shared" si="25"/>
        <v>0</v>
      </c>
      <c r="AB69" s="51">
        <f t="shared" si="26"/>
        <v>0</v>
      </c>
    </row>
    <row r="70" spans="15:28" x14ac:dyDescent="0.3">
      <c r="O70" t="s">
        <v>47</v>
      </c>
      <c r="P70" s="51">
        <f>IFERROR('Historical FS'!P48/'Historical FS'!P102,0)</f>
        <v>0</v>
      </c>
      <c r="Q70" s="51">
        <f>IFERROR('Historical FS'!Q48/'Historical FS'!Q102,0)</f>
        <v>0</v>
      </c>
      <c r="R70" s="51">
        <f>IFERROR('Historical FS'!R48/'Historical FS'!R102,0)</f>
        <v>0</v>
      </c>
      <c r="S70" s="51">
        <f>IFERROR('Historical FS'!S48/'Historical FS'!S102,0)</f>
        <v>0</v>
      </c>
      <c r="T70" s="51">
        <f>IFERROR('Historical FS'!T48/'Historical FS'!T102,0)</f>
        <v>0</v>
      </c>
      <c r="U70" s="51">
        <f>IFERROR('Historical FS'!U48/'Historical FS'!U102,0)</f>
        <v>0</v>
      </c>
      <c r="V70" s="51">
        <f>IFERROR('Historical FS'!V48/'Historical FS'!V102,0)</f>
        <v>0</v>
      </c>
      <c r="W70" s="51">
        <f>IFERROR('Historical FS'!W48/'Historical FS'!W102,0)</f>
        <v>0</v>
      </c>
      <c r="X70" s="51">
        <f>IFERROR('Historical FS'!X48/'Historical FS'!X102,0)</f>
        <v>0</v>
      </c>
      <c r="Y70" s="51">
        <f>IFERROR('Historical FS'!Y48/'Historical FS'!Y102,0)</f>
        <v>0</v>
      </c>
      <c r="Z70" s="51"/>
      <c r="AA70" s="51">
        <f t="shared" si="25"/>
        <v>0</v>
      </c>
      <c r="AB70" s="51">
        <f t="shared" si="26"/>
        <v>0</v>
      </c>
    </row>
    <row r="71" spans="15:28" x14ac:dyDescent="0.3">
      <c r="O71" t="s">
        <v>155</v>
      </c>
      <c r="P71" s="51">
        <f>IFERROR('Historical FS'!P48/'Historical FS'!P95,0)</f>
        <v>0</v>
      </c>
      <c r="Q71" s="51">
        <f>IFERROR('Historical FS'!Q48/'Historical FS'!Q95,0)</f>
        <v>0</v>
      </c>
      <c r="R71" s="51">
        <f>IFERROR('Historical FS'!R48/'Historical FS'!R95,0)</f>
        <v>0</v>
      </c>
      <c r="S71" s="51">
        <f>IFERROR('Historical FS'!S48/'Historical FS'!S95,0)</f>
        <v>0</v>
      </c>
      <c r="T71" s="51">
        <f>IFERROR('Historical FS'!T48/'Historical FS'!T95,0)</f>
        <v>0</v>
      </c>
      <c r="U71" s="51">
        <f>IFERROR('Historical FS'!U48/'Historical FS'!U95,0)</f>
        <v>0</v>
      </c>
      <c r="V71" s="51">
        <f>IFERROR('Historical FS'!V48/'Historical FS'!V95,0)</f>
        <v>0</v>
      </c>
      <c r="W71" s="51">
        <f>IFERROR('Historical FS'!W48/'Historical FS'!W95,0)</f>
        <v>0</v>
      </c>
      <c r="X71" s="51">
        <f>IFERROR('Historical FS'!X48/'Historical FS'!X95,0)</f>
        <v>0</v>
      </c>
      <c r="Y71" s="51">
        <f>IFERROR('Historical FS'!Y48/'Historical FS'!Y95,0)</f>
        <v>0</v>
      </c>
      <c r="Z71" s="51"/>
      <c r="AA71" s="51">
        <f t="shared" si="25"/>
        <v>0</v>
      </c>
      <c r="AB71" s="51">
        <f t="shared" si="26"/>
        <v>0</v>
      </c>
    </row>
    <row r="72" spans="15:28" x14ac:dyDescent="0.3">
      <c r="O72" s="41" t="s">
        <v>156</v>
      </c>
      <c r="P72" s="52">
        <f>IFERROR('Historical FS'!P48/SUM('Historical FS'!P89:P90),0)</f>
        <v>0</v>
      </c>
      <c r="Q72" s="52">
        <f>IFERROR('Historical FS'!Q48/SUM('Historical FS'!Q89:Q90),0)</f>
        <v>0</v>
      </c>
      <c r="R72" s="52">
        <f>IFERROR('Historical FS'!R48/SUM('Historical FS'!R89:R90),0)</f>
        <v>0</v>
      </c>
      <c r="S72" s="52">
        <f>IFERROR('Historical FS'!S48/SUM('Historical FS'!S89:S90),0)</f>
        <v>0</v>
      </c>
      <c r="T72" s="52">
        <f>IFERROR('Historical FS'!T48/SUM('Historical FS'!T89:T90),0)</f>
        <v>0</v>
      </c>
      <c r="U72" s="52">
        <f>IFERROR('Historical FS'!U48/SUM('Historical FS'!U89:U90),0)</f>
        <v>0</v>
      </c>
      <c r="V72" s="52">
        <f>IFERROR('Historical FS'!V48/SUM('Historical FS'!V89:V90),0)</f>
        <v>0</v>
      </c>
      <c r="W72" s="52">
        <f>IFERROR('Historical FS'!W48/SUM('Historical FS'!W89:W90),0)</f>
        <v>0</v>
      </c>
      <c r="X72" s="52">
        <f>IFERROR('Historical FS'!X48/SUM('Historical FS'!X89:X90),0)</f>
        <v>0</v>
      </c>
      <c r="Y72" s="52">
        <f>IFERROR('Historical FS'!Y48/SUM('Historical FS'!Y89:Y90),0)</f>
        <v>0</v>
      </c>
      <c r="Z72" s="52"/>
      <c r="AA72" s="52">
        <f t="shared" si="25"/>
        <v>0</v>
      </c>
      <c r="AB72" s="52">
        <f t="shared" si="26"/>
        <v>0</v>
      </c>
    </row>
    <row r="74" spans="15:28" x14ac:dyDescent="0.3">
      <c r="O74" s="42" t="s">
        <v>46</v>
      </c>
      <c r="P74" s="53">
        <f>IFERROR(365/P68,0)</f>
        <v>0</v>
      </c>
      <c r="Q74" s="53">
        <f t="shared" ref="Q74:Y76" si="27">IFERROR(365/Q68,0)</f>
        <v>0</v>
      </c>
      <c r="R74" s="53">
        <f t="shared" si="27"/>
        <v>0</v>
      </c>
      <c r="S74" s="53">
        <f t="shared" si="27"/>
        <v>0</v>
      </c>
      <c r="T74" s="53">
        <f t="shared" si="27"/>
        <v>0</v>
      </c>
      <c r="U74" s="53">
        <f t="shared" si="27"/>
        <v>0</v>
      </c>
      <c r="V74" s="53">
        <f t="shared" si="27"/>
        <v>0</v>
      </c>
      <c r="W74" s="53">
        <f t="shared" si="27"/>
        <v>0</v>
      </c>
      <c r="X74" s="53">
        <f t="shared" si="27"/>
        <v>0</v>
      </c>
      <c r="Y74" s="53">
        <f t="shared" si="27"/>
        <v>0</v>
      </c>
      <c r="Z74" s="53"/>
      <c r="AA74" s="53">
        <f t="shared" ref="AA74:AA77" si="28">IFERROR(AVERAGE(P74:Y74),0)</f>
        <v>0</v>
      </c>
      <c r="AB74" s="53">
        <f t="shared" ref="AB74:AB77" si="29">MEDIAN(P74:Y74)</f>
        <v>0</v>
      </c>
    </row>
    <row r="75" spans="15:28" x14ac:dyDescent="0.3">
      <c r="O75" t="s">
        <v>157</v>
      </c>
      <c r="P75" s="54">
        <f>IFERROR(365/P69,0)</f>
        <v>0</v>
      </c>
      <c r="Q75" s="54">
        <f t="shared" ref="Q75:X75" si="30">IFERROR(365/Q69,0)</f>
        <v>0</v>
      </c>
      <c r="R75" s="54">
        <f t="shared" si="30"/>
        <v>0</v>
      </c>
      <c r="S75" s="54">
        <f t="shared" si="30"/>
        <v>0</v>
      </c>
      <c r="T75" s="54">
        <f t="shared" si="30"/>
        <v>0</v>
      </c>
      <c r="U75" s="54">
        <f t="shared" si="30"/>
        <v>0</v>
      </c>
      <c r="V75" s="54">
        <f t="shared" si="30"/>
        <v>0</v>
      </c>
      <c r="W75" s="54">
        <f t="shared" si="30"/>
        <v>0</v>
      </c>
      <c r="X75" s="54">
        <f t="shared" si="30"/>
        <v>0</v>
      </c>
      <c r="Y75" s="54">
        <f t="shared" si="27"/>
        <v>0</v>
      </c>
      <c r="Z75" s="54"/>
      <c r="AA75" s="54">
        <f t="shared" si="28"/>
        <v>0</v>
      </c>
      <c r="AB75" s="54">
        <f t="shared" si="29"/>
        <v>0</v>
      </c>
    </row>
    <row r="76" spans="15:28" x14ac:dyDescent="0.3">
      <c r="O76" t="s">
        <v>158</v>
      </c>
      <c r="P76" s="54">
        <f>IFERROR(365/P70,0)</f>
        <v>0</v>
      </c>
      <c r="Q76" s="54">
        <f t="shared" ref="Q76:X76" si="31">IFERROR(365/Q70,0)</f>
        <v>0</v>
      </c>
      <c r="R76" s="54">
        <f t="shared" si="31"/>
        <v>0</v>
      </c>
      <c r="S76" s="54">
        <f t="shared" si="31"/>
        <v>0</v>
      </c>
      <c r="T76" s="54">
        <f t="shared" si="31"/>
        <v>0</v>
      </c>
      <c r="U76" s="54">
        <f t="shared" si="31"/>
        <v>0</v>
      </c>
      <c r="V76" s="54">
        <f t="shared" si="31"/>
        <v>0</v>
      </c>
      <c r="W76" s="54">
        <f t="shared" si="31"/>
        <v>0</v>
      </c>
      <c r="X76" s="54">
        <f t="shared" si="31"/>
        <v>0</v>
      </c>
      <c r="Y76" s="54">
        <f t="shared" si="27"/>
        <v>0</v>
      </c>
      <c r="Z76" s="54"/>
      <c r="AA76" s="54">
        <f t="shared" si="28"/>
        <v>0</v>
      </c>
      <c r="AB76" s="54">
        <f t="shared" si="29"/>
        <v>0</v>
      </c>
    </row>
    <row r="77" spans="15:28" x14ac:dyDescent="0.3">
      <c r="O77" s="43" t="s">
        <v>159</v>
      </c>
      <c r="P77" s="55">
        <f>IFERROR(SUM(P74,P76)-P75,0)</f>
        <v>0</v>
      </c>
      <c r="Q77" s="55">
        <f t="shared" ref="Q77:Y77" si="32">IFERROR(SUM(Q74,Q76)-Q75,0)</f>
        <v>0</v>
      </c>
      <c r="R77" s="55">
        <f t="shared" si="32"/>
        <v>0</v>
      </c>
      <c r="S77" s="55">
        <f t="shared" si="32"/>
        <v>0</v>
      </c>
      <c r="T77" s="55">
        <f t="shared" si="32"/>
        <v>0</v>
      </c>
      <c r="U77" s="55">
        <f t="shared" si="32"/>
        <v>0</v>
      </c>
      <c r="V77" s="55">
        <f t="shared" si="32"/>
        <v>0</v>
      </c>
      <c r="W77" s="55">
        <f t="shared" si="32"/>
        <v>0</v>
      </c>
      <c r="X77" s="55">
        <f t="shared" si="32"/>
        <v>0</v>
      </c>
      <c r="Y77" s="55">
        <f t="shared" si="32"/>
        <v>0</v>
      </c>
      <c r="Z77" s="55"/>
      <c r="AA77" s="55">
        <f t="shared" si="28"/>
        <v>0</v>
      </c>
      <c r="AB77" s="55">
        <f t="shared" si="29"/>
        <v>0</v>
      </c>
    </row>
    <row r="79" spans="15:28" x14ac:dyDescent="0.3">
      <c r="O79" s="40" t="s">
        <v>160</v>
      </c>
      <c r="P79" s="44">
        <f>IFERROR('Historical FS'!P120/'Historical FS'!P48,0)</f>
        <v>0</v>
      </c>
      <c r="Q79" s="44">
        <f>IFERROR('Historical FS'!Q120/'Historical FS'!Q48,0)</f>
        <v>0</v>
      </c>
      <c r="R79" s="44">
        <f>IFERROR('Historical FS'!R120/'Historical FS'!R48,0)</f>
        <v>0</v>
      </c>
      <c r="S79" s="44">
        <f>IFERROR('Historical FS'!S120/'Historical FS'!S48,0)</f>
        <v>0</v>
      </c>
      <c r="T79" s="44">
        <f>IFERROR('Historical FS'!T120/'Historical FS'!T48,0)</f>
        <v>0</v>
      </c>
      <c r="U79" s="44">
        <f>IFERROR('Historical FS'!U120/'Historical FS'!U48,0)</f>
        <v>0</v>
      </c>
      <c r="V79" s="44">
        <f>IFERROR('Historical FS'!V120/'Historical FS'!V48,0)</f>
        <v>0</v>
      </c>
      <c r="W79" s="44">
        <f>IFERROR('Historical FS'!W120/'Historical FS'!W48,0)</f>
        <v>0</v>
      </c>
      <c r="X79" s="44">
        <f>IFERROR('Historical FS'!X120/'Historical FS'!X48,0)</f>
        <v>0</v>
      </c>
      <c r="Y79" s="44">
        <f>IFERROR('Historical FS'!Y120/'Historical FS'!Y48,0)</f>
        <v>0</v>
      </c>
      <c r="Z79" s="44"/>
      <c r="AA79" s="44">
        <f t="shared" ref="AA79:AA81" si="33">IFERROR(AVERAGE(P79:Y79),0)</f>
        <v>0</v>
      </c>
      <c r="AB79" s="44">
        <f t="shared" ref="AB79:AB81" si="34">MEDIAN(P79:Y79)</f>
        <v>0</v>
      </c>
    </row>
    <row r="80" spans="15:28" x14ac:dyDescent="0.3">
      <c r="O80" t="s">
        <v>161</v>
      </c>
      <c r="P80" s="45">
        <f>IFERROR('Historical FS'!P120/'Historical FS'!P106,0)</f>
        <v>0</v>
      </c>
      <c r="Q80" s="45">
        <f>IFERROR('Historical FS'!Q120/'Historical FS'!Q106,0)</f>
        <v>0</v>
      </c>
      <c r="R80" s="45">
        <f>IFERROR('Historical FS'!R120/'Historical FS'!R106,0)</f>
        <v>0</v>
      </c>
      <c r="S80" s="45">
        <f>IFERROR('Historical FS'!S120/'Historical FS'!S106,0)</f>
        <v>0</v>
      </c>
      <c r="T80" s="45">
        <f>IFERROR('Historical FS'!T120/'Historical FS'!T106,0)</f>
        <v>0</v>
      </c>
      <c r="U80" s="45">
        <f>IFERROR('Historical FS'!U120/'Historical FS'!U106,0)</f>
        <v>0</v>
      </c>
      <c r="V80" s="45">
        <f>IFERROR('Historical FS'!V120/'Historical FS'!V106,0)</f>
        <v>0</v>
      </c>
      <c r="W80" s="45">
        <f>IFERROR('Historical FS'!W120/'Historical FS'!W106,0)</f>
        <v>0</v>
      </c>
      <c r="X80" s="45">
        <f>IFERROR('Historical FS'!X120/'Historical FS'!X106,0)</f>
        <v>0</v>
      </c>
      <c r="Y80" s="45">
        <f>IFERROR('Historical FS'!Y120/'Historical FS'!Y106,0)</f>
        <v>0</v>
      </c>
      <c r="Z80" s="45"/>
      <c r="AA80" s="45">
        <f t="shared" si="33"/>
        <v>0</v>
      </c>
      <c r="AB80" s="45">
        <f t="shared" si="34"/>
        <v>0</v>
      </c>
    </row>
    <row r="81" spans="15:28" x14ac:dyDescent="0.3">
      <c r="O81" s="41" t="s">
        <v>162</v>
      </c>
      <c r="P81" s="47">
        <f>IFERROR('Historical FS'!P120/'Historical FS'!P91,0)</f>
        <v>0</v>
      </c>
      <c r="Q81" s="47">
        <f>IFERROR('Historical FS'!Q120/'Historical FS'!Q91,0)</f>
        <v>0</v>
      </c>
      <c r="R81" s="47">
        <f>IFERROR('Historical FS'!R120/'Historical FS'!R91,0)</f>
        <v>0</v>
      </c>
      <c r="S81" s="47">
        <f>IFERROR('Historical FS'!S120/'Historical FS'!S91,0)</f>
        <v>0</v>
      </c>
      <c r="T81" s="47">
        <f>IFERROR('Historical FS'!T120/'Historical FS'!T91,0)</f>
        <v>0</v>
      </c>
      <c r="U81" s="47">
        <f>IFERROR('Historical FS'!U120/'Historical FS'!U91,0)</f>
        <v>0</v>
      </c>
      <c r="V81" s="47">
        <f>IFERROR('Historical FS'!V120/'Historical FS'!V91,0)</f>
        <v>0</v>
      </c>
      <c r="W81" s="47">
        <f>IFERROR('Historical FS'!W120/'Historical FS'!W91,0)</f>
        <v>0</v>
      </c>
      <c r="X81" s="47">
        <f>IFERROR('Historical FS'!X120/'Historical FS'!X91,0)</f>
        <v>0</v>
      </c>
      <c r="Y81" s="47">
        <f>IFERROR('Historical FS'!Y120/'Historical FS'!Y91,0)</f>
        <v>0</v>
      </c>
      <c r="Z81" s="47"/>
      <c r="AA81" s="47">
        <f t="shared" si="33"/>
        <v>0</v>
      </c>
      <c r="AB81" s="47">
        <f t="shared" si="34"/>
        <v>0</v>
      </c>
    </row>
  </sheetData>
  <mergeCells count="2">
    <mergeCell ref="B2:O2"/>
    <mergeCell ref="O44:AB44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D29AF1CF-4D3C-412F-97CE-16A5751A9E19}">
          <x14:colorSeries rgb="FF0070C0"/>
          <x14:colorNegative rgb="FF000000"/>
          <x14:colorAxis rgb="FF000000"/>
          <x14:colorMarkers theme="8" tint="-0.249977111117893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</x14:sparklines>
        </x14:sparklineGroup>
        <x14:sparklineGroup displayEmptyCellsAs="gap" markers="1" xr2:uid="{4B89E184-F260-420C-B2FB-2676100A50CA}">
          <x14:colorSeries rgb="FF0070C0"/>
          <x14:colorNegative rgb="FF000000"/>
          <x14:colorAxis rgb="FF000000"/>
          <x14:colorMarkers theme="8" tint="-0.249977111117893"/>
          <x14:colorFirst rgb="FF000000"/>
          <x14:colorLast rgb="FF000000"/>
          <x14:colorHigh rgb="FF000000"/>
          <x14:colorLow rgb="FF000000"/>
          <x14:sparklines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</x14:sparklines>
        </x14:sparklineGroup>
        <x14:sparklineGroup displayEmptyCellsAs="gap" markers="1" xr2:uid="{7FE0A0CA-7AFE-4AC8-84AB-EAFEC9894249}">
          <x14:colorSeries rgb="FF0070C0"/>
          <x14:colorNegative rgb="FF000000"/>
          <x14:colorAxis rgb="FF000000"/>
          <x14:colorMarkers theme="8" tint="-0.249977111117893"/>
          <x14:colorFirst rgb="FF000000"/>
          <x14:colorLast rgb="FF000000"/>
          <x14:colorHigh rgb="FF000000"/>
          <x14:colorLow rgb="FF000000"/>
          <x14:sparklines>
            <x14:sparkline>
              <xm:f>'Ratio Analysis'!P52:Y52</xm:f>
              <xm:sqref>Z52</xm:sqref>
            </x14:sparkline>
            <x14:sparkline>
              <xm:f>'Ratio Analysis'!P53:Y53</xm:f>
              <xm:sqref>Z53</xm:sqref>
            </x14:sparkline>
            <x14:sparkline>
              <xm:f>'Ratio Analysis'!P54:Y54</xm:f>
              <xm:sqref>Z54</xm:sqref>
            </x14:sparkline>
            <x14:sparkline>
              <xm:f>'Ratio Analysis'!P55:Y55</xm:f>
              <xm:sqref>Z55</xm:sqref>
            </x14:sparkline>
            <x14:sparkline>
              <xm:f>'Ratio Analysis'!P56:Y56</xm:f>
              <xm:sqref>Z56</xm:sqref>
            </x14:sparkline>
            <x14:sparkline>
              <xm:f>'Ratio Analysis'!P57:Y57</xm:f>
              <xm:sqref>Z57</xm:sqref>
            </x14:sparkline>
            <x14:sparkline>
              <xm:f>'Ratio Analysis'!P58:Y58</xm:f>
              <xm:sqref>Z58</xm:sqref>
            </x14:sparkline>
            <x14:sparkline>
              <xm:f>'Ratio Analysis'!P59:Y59</xm:f>
              <xm:sqref>Z59</xm:sqref>
            </x14:sparkline>
            <x14:sparkline>
              <xm:f>'Ratio Analysis'!P60:Y60</xm:f>
              <xm:sqref>Z60</xm:sqref>
            </x14:sparkline>
            <x14:sparkline>
              <xm:f>'Ratio Analysis'!P61:Y61</xm:f>
              <xm:sqref>Z61</xm:sqref>
            </x14:sparkline>
            <x14:sparkline>
              <xm:f>'Ratio Analysis'!P62:Y62</xm:f>
              <xm:sqref>Z62</xm:sqref>
            </x14:sparkline>
            <x14:sparkline>
              <xm:f>'Ratio Analysis'!P63:Y63</xm:f>
              <xm:sqref>Z63</xm:sqref>
            </x14:sparkline>
            <x14:sparkline>
              <xm:f>'Ratio Analysis'!P64:Y64</xm:f>
              <xm:sqref>Z64</xm:sqref>
            </x14:sparkline>
            <x14:sparkline>
              <xm:f>'Ratio Analysis'!P65:Y65</xm:f>
              <xm:sqref>Z65</xm:sqref>
            </x14:sparkline>
            <x14:sparkline>
              <xm:f>'Ratio Analysis'!P66:Y66</xm:f>
              <xm:sqref>Z66</xm:sqref>
            </x14:sparkline>
            <x14:sparkline>
              <xm:f>'Ratio Analysis'!P67:Y67</xm:f>
              <xm:sqref>Z67</xm:sqref>
            </x14:sparkline>
            <x14:sparkline>
              <xm:f>'Ratio Analysis'!P68:Y68</xm:f>
              <xm:sqref>Z68</xm:sqref>
            </x14:sparkline>
            <x14:sparkline>
              <xm:f>'Ratio Analysis'!P69:Y69</xm:f>
              <xm:sqref>Z69</xm:sqref>
            </x14:sparkline>
            <x14:sparkline>
              <xm:f>'Ratio Analysis'!P70:Y70</xm:f>
              <xm:sqref>Z70</xm:sqref>
            </x14:sparkline>
            <x14:sparkline>
              <xm:f>'Ratio Analysis'!P71:Y71</xm:f>
              <xm:sqref>Z71</xm:sqref>
            </x14:sparkline>
            <x14:sparkline>
              <xm:f>'Ratio Analysis'!P72:Y72</xm:f>
              <xm:sqref>Z72</xm:sqref>
            </x14:sparkline>
            <x14:sparkline>
              <xm:f>'Ratio Analysis'!P73:Y73</xm:f>
              <xm:sqref>Z73</xm:sqref>
            </x14:sparkline>
            <x14:sparkline>
              <xm:f>'Ratio Analysis'!P74:Y74</xm:f>
              <xm:sqref>Z74</xm:sqref>
            </x14:sparkline>
            <x14:sparkline>
              <xm:f>'Ratio Analysis'!P75:Y75</xm:f>
              <xm:sqref>Z75</xm:sqref>
            </x14:sparkline>
            <x14:sparkline>
              <xm:f>'Ratio Analysis'!P76:Y76</xm:f>
              <xm:sqref>Z76</xm:sqref>
            </x14:sparkline>
            <x14:sparkline>
              <xm:f>'Ratio Analysis'!P77:Y77</xm:f>
              <xm:sqref>Z77</xm:sqref>
            </x14:sparkline>
            <x14:sparkline>
              <xm:f>'Ratio Analysis'!P78:Y78</xm:f>
              <xm:sqref>Z78</xm:sqref>
            </x14:sparkline>
            <x14:sparkline>
              <xm:f>'Ratio Analysis'!P79:Y79</xm:f>
              <xm:sqref>Z79</xm:sqref>
            </x14:sparkline>
            <x14:sparkline>
              <xm:f>'Ratio Analysis'!P80:Y80</xm:f>
              <xm:sqref>Z80</xm:sqref>
            </x14:sparkline>
            <x14:sparkline>
              <xm:f>'Ratio Analysis'!P81:Y81</xm:f>
              <xm:sqref>Z81</xm:sqref>
            </x14:sparkline>
          </x14:sparklines>
        </x14:sparklineGroup>
        <x14:sparklineGroup displayEmptyCellsAs="gap" markers="1" xr2:uid="{0072D91E-F02C-498A-ADE2-2DB53E60A7D8}">
          <x14:colorSeries rgb="FF0070C0"/>
          <x14:colorNegative rgb="FF000000"/>
          <x14:colorAxis rgb="FF000000"/>
          <x14:colorMarkers theme="8" tint="-0.249977111117893"/>
          <x14:colorFirst rgb="FF000000"/>
          <x14:colorLast rgb="FF000000"/>
          <x14:colorHigh rgb="FF000000"/>
          <x14:colorLow rgb="FF000000"/>
          <x14:sparklines>
            <x14:sparkline>
              <xm:f>'Ratio Analysis'!Q47:Y47</xm:f>
              <xm:sqref>Z47</xm:sqref>
            </x14:sparkline>
            <x14:sparkline>
              <xm:f>'Ratio Analysis'!Q48:Y48</xm:f>
              <xm:sqref>Z48</xm:sqref>
            </x14:sparkline>
            <x14:sparkline>
              <xm:f>'Ratio Analysis'!Q49:Y49</xm:f>
              <xm:sqref>Z49</xm:sqref>
            </x14:sparkline>
            <x14:sparkline>
              <xm:f>'Ratio Analysis'!Q50:Y50</xm:f>
              <xm:sqref>Z50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E753-A6F6-4D11-88CC-6B1BDF991213}">
  <sheetPr>
    <tabColor theme="7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83" zoomScaleNormal="83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K15" sqref="K15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54</v>
      </c>
      <c r="E1" s="92" t="str">
        <f>IF(B2&lt;&gt;B3, "A NEW VERSION OF THE WORKSHEET IS AVAILABLE", "")</f>
        <v/>
      </c>
      <c r="F1" s="92"/>
      <c r="G1" s="92"/>
      <c r="H1" s="92"/>
      <c r="I1" s="92"/>
      <c r="J1" s="92"/>
      <c r="K1" s="92"/>
    </row>
    <row r="2" spans="1:11" x14ac:dyDescent="0.3">
      <c r="A2" s="1" t="s">
        <v>52</v>
      </c>
      <c r="B2" s="4">
        <v>2.1</v>
      </c>
      <c r="E2" s="93" t="s">
        <v>36</v>
      </c>
      <c r="F2" s="93"/>
      <c r="G2" s="93"/>
      <c r="H2" s="93"/>
      <c r="I2" s="93"/>
      <c r="J2" s="93"/>
      <c r="K2" s="93"/>
    </row>
    <row r="3" spans="1:11" x14ac:dyDescent="0.3">
      <c r="A3" s="1" t="s">
        <v>53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42</v>
      </c>
      <c r="B6" s="4">
        <f>IF(B9&gt;0, B9/B8, 0)</f>
        <v>405.53910883521854</v>
      </c>
    </row>
    <row r="7" spans="1:11" x14ac:dyDescent="0.3">
      <c r="A7" s="4" t="s">
        <v>31</v>
      </c>
      <c r="B7">
        <v>5</v>
      </c>
    </row>
    <row r="8" spans="1:11" x14ac:dyDescent="0.3">
      <c r="A8" s="4" t="s">
        <v>43</v>
      </c>
      <c r="B8">
        <v>1308.4000000000001</v>
      </c>
    </row>
    <row r="9" spans="1:11" x14ac:dyDescent="0.3">
      <c r="A9" s="4" t="s">
        <v>70</v>
      </c>
      <c r="B9">
        <v>530607.37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6" customFormat="1" x14ac:dyDescent="0.3">
      <c r="A18" s="4" t="s">
        <v>71</v>
      </c>
    </row>
    <row r="19" spans="1:11" s="6" customFormat="1" x14ac:dyDescent="0.3">
      <c r="A19" s="4" t="s">
        <v>72</v>
      </c>
    </row>
    <row r="20" spans="1:11" s="6" customFormat="1" x14ac:dyDescent="0.3">
      <c r="A20" s="4" t="s">
        <v>73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6" customFormat="1" x14ac:dyDescent="0.3">
      <c r="A21" s="4" t="s">
        <v>74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6" customFormat="1" x14ac:dyDescent="0.3">
      <c r="A22" s="4" t="s">
        <v>75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6" customFormat="1" x14ac:dyDescent="0.3">
      <c r="A23" s="4" t="s">
        <v>76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6" customFormat="1" x14ac:dyDescent="0.3">
      <c r="A24" s="4" t="s">
        <v>77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6" customFormat="1" x14ac:dyDescent="0.3">
      <c r="A25" s="6" t="s">
        <v>9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6" customFormat="1" x14ac:dyDescent="0.3">
      <c r="A26" s="6" t="s">
        <v>10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6" customFormat="1" x14ac:dyDescent="0.3">
      <c r="A27" s="6" t="s">
        <v>11</v>
      </c>
      <c r="B27"/>
      <c r="C27"/>
      <c r="D27"/>
      <c r="E27"/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6" customFormat="1" x14ac:dyDescent="0.3">
      <c r="A28" s="6" t="s">
        <v>12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6" customFormat="1" x14ac:dyDescent="0.3">
      <c r="A29" s="6" t="s">
        <v>13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6" customFormat="1" x14ac:dyDescent="0.3">
      <c r="A30" s="6" t="s">
        <v>14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6" customFormat="1" x14ac:dyDescent="0.3">
      <c r="A31" s="6" t="s">
        <v>61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6" customFormat="1" x14ac:dyDescent="0.3">
      <c r="A43" s="6" t="s">
        <v>7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6" customFormat="1" x14ac:dyDescent="0.3">
      <c r="A44" s="6" t="s">
        <v>9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6" customFormat="1" x14ac:dyDescent="0.3">
      <c r="A45" s="6" t="s">
        <v>10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6" customFormat="1" x14ac:dyDescent="0.3">
      <c r="A46" s="6" t="s">
        <v>11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6" customFormat="1" x14ac:dyDescent="0.3">
      <c r="A47" s="6" t="s">
        <v>12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6" customFormat="1" x14ac:dyDescent="0.3">
      <c r="A48" s="6" t="s">
        <v>13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1" s="6" customFormat="1" x14ac:dyDescent="0.3">
      <c r="A49" s="6" t="s">
        <v>14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1" x14ac:dyDescent="0.3">
      <c r="A50" s="6" t="s">
        <v>8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1" x14ac:dyDescent="0.3">
      <c r="A58" s="6" t="s">
        <v>25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1" x14ac:dyDescent="0.3">
      <c r="A59" s="6" t="s">
        <v>62</v>
      </c>
      <c r="B59"/>
      <c r="C59"/>
      <c r="D59"/>
      <c r="E59"/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1" x14ac:dyDescent="0.3">
      <c r="A60" s="6" t="s">
        <v>63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1" s="1" customFormat="1" x14ac:dyDescent="0.3">
      <c r="A61" s="1" t="s">
        <v>26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1" x14ac:dyDescent="0.3">
      <c r="A62" s="6" t="s">
        <v>27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</row>
    <row r="63" spans="1:11" x14ac:dyDescent="0.3">
      <c r="A63" s="6" t="s">
        <v>28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1" x14ac:dyDescent="0.3">
      <c r="A64" s="6" t="s">
        <v>29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 x14ac:dyDescent="0.3">
      <c r="A65" s="6" t="s">
        <v>64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 x14ac:dyDescent="0.3">
      <c r="A66" s="1" t="s">
        <v>26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6" customFormat="1" x14ac:dyDescent="0.3">
      <c r="A67" s="6" t="s">
        <v>69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 x14ac:dyDescent="0.3">
      <c r="A68" s="6" t="s">
        <v>45</v>
      </c>
      <c r="B68"/>
      <c r="C68"/>
      <c r="D68"/>
      <c r="E68"/>
      <c r="F68"/>
      <c r="G68"/>
      <c r="H68"/>
      <c r="I68"/>
      <c r="J68"/>
      <c r="K68"/>
    </row>
    <row r="69" spans="1:11" x14ac:dyDescent="0.3">
      <c r="A69" s="4" t="s">
        <v>78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 x14ac:dyDescent="0.3">
      <c r="A70" s="4" t="s">
        <v>65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 x14ac:dyDescent="0.3">
      <c r="A71" s="4" t="s">
        <v>66</v>
      </c>
      <c r="B71">
        <v>1148472332</v>
      </c>
      <c r="E71">
        <v>2184191490</v>
      </c>
    </row>
    <row r="72" spans="1:11" x14ac:dyDescent="0.3">
      <c r="A72" s="4" t="s">
        <v>79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10028</v>
      </c>
      <c r="C82">
        <v>11531</v>
      </c>
      <c r="D82">
        <v>13218</v>
      </c>
      <c r="E82">
        <v>14841</v>
      </c>
      <c r="F82">
        <v>17003</v>
      </c>
      <c r="G82">
        <v>23224</v>
      </c>
      <c r="H82">
        <v>23885</v>
      </c>
      <c r="I82">
        <v>22467</v>
      </c>
      <c r="J82">
        <v>25210</v>
      </c>
      <c r="K82">
        <v>35694</v>
      </c>
    </row>
    <row r="83" spans="1:11" s="6" customFormat="1" x14ac:dyDescent="0.3">
      <c r="A83" s="6" t="s">
        <v>33</v>
      </c>
      <c r="B83">
        <v>-885</v>
      </c>
      <c r="C83">
        <v>-14664</v>
      </c>
      <c r="D83">
        <v>4533</v>
      </c>
      <c r="E83">
        <v>-632</v>
      </c>
      <c r="F83">
        <v>-331</v>
      </c>
      <c r="G83">
        <v>-7373</v>
      </c>
      <c r="H83">
        <v>-6485</v>
      </c>
      <c r="I83">
        <v>-1071</v>
      </c>
      <c r="J83">
        <v>-5093</v>
      </c>
      <c r="K83">
        <v>-1864</v>
      </c>
    </row>
    <row r="84" spans="1:11" s="6" customFormat="1" x14ac:dyDescent="0.3">
      <c r="A84" s="6" t="s">
        <v>34</v>
      </c>
      <c r="B84">
        <v>-6813</v>
      </c>
      <c r="C84">
        <v>-6939</v>
      </c>
      <c r="D84">
        <v>-20505</v>
      </c>
      <c r="E84">
        <v>-14512</v>
      </c>
      <c r="F84">
        <v>-17591</v>
      </c>
      <c r="G84">
        <v>-9786</v>
      </c>
      <c r="H84">
        <v>-24642</v>
      </c>
      <c r="I84">
        <v>-26695</v>
      </c>
      <c r="J84">
        <v>-17504</v>
      </c>
      <c r="K84">
        <v>-24161</v>
      </c>
    </row>
    <row r="85" spans="1:11" s="1" customFormat="1" x14ac:dyDescent="0.3">
      <c r="A85" s="6" t="s">
        <v>35</v>
      </c>
      <c r="B85">
        <v>2330</v>
      </c>
      <c r="C85">
        <v>-10072</v>
      </c>
      <c r="D85">
        <v>-2754</v>
      </c>
      <c r="E85">
        <v>-303</v>
      </c>
      <c r="F85">
        <v>-919</v>
      </c>
      <c r="G85">
        <v>6065</v>
      </c>
      <c r="H85">
        <v>-7242</v>
      </c>
      <c r="I85">
        <v>-5299</v>
      </c>
      <c r="J85">
        <v>2613</v>
      </c>
      <c r="K85">
        <v>9669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68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3">
      <c r="A92" s="1" t="s">
        <v>67</v>
      </c>
    </row>
    <row r="93" spans="1:11" x14ac:dyDescent="0.3">
      <c r="A93" s="4" t="s">
        <v>80</v>
      </c>
      <c r="B93" s="20">
        <v>459.39</v>
      </c>
      <c r="C93" s="20">
        <v>459.39</v>
      </c>
      <c r="D93" s="20">
        <v>436.82</v>
      </c>
      <c r="E93" s="20">
        <v>436.89</v>
      </c>
      <c r="F93" s="20">
        <v>425.9</v>
      </c>
      <c r="G93" s="20">
        <v>426.07</v>
      </c>
      <c r="H93" s="20">
        <v>420.67</v>
      </c>
      <c r="I93" s="20">
        <v>414.86</v>
      </c>
      <c r="J93" s="20">
        <v>415.09</v>
      </c>
      <c r="K93" s="20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D1AD-085A-4EF8-A05F-C82B3CE296B6}">
  <dimension ref="B1:N28"/>
  <sheetViews>
    <sheetView zoomScale="93" zoomScaleNormal="120" workbookViewId="0">
      <selection activeCell="C21" sqref="B2:L26"/>
    </sheetView>
  </sheetViews>
  <sheetFormatPr defaultRowHeight="14.4" x14ac:dyDescent="0.3"/>
  <cols>
    <col min="2" max="2" width="34.109375" bestFit="1" customWidth="1"/>
  </cols>
  <sheetData>
    <row r="1" spans="2:14" ht="15" thickBot="1" x14ac:dyDescent="0.35"/>
    <row r="2" spans="2:14" ht="15" thickBot="1" x14ac:dyDescent="0.35">
      <c r="B2" s="62" t="s">
        <v>169</v>
      </c>
      <c r="C2" s="63">
        <v>10028</v>
      </c>
      <c r="D2" s="63">
        <v>11531</v>
      </c>
      <c r="E2" s="63">
        <v>13218</v>
      </c>
      <c r="F2" s="63">
        <v>14841</v>
      </c>
      <c r="G2" s="63">
        <v>17003</v>
      </c>
      <c r="H2" s="63">
        <v>23224</v>
      </c>
      <c r="I2" s="63">
        <v>23885</v>
      </c>
      <c r="J2" s="63">
        <v>22467</v>
      </c>
      <c r="K2" s="63">
        <v>25210</v>
      </c>
      <c r="L2" s="63">
        <v>35694</v>
      </c>
    </row>
    <row r="3" spans="2:14" x14ac:dyDescent="0.3">
      <c r="B3" s="64" t="s">
        <v>110</v>
      </c>
      <c r="C3" s="63">
        <v>17839</v>
      </c>
      <c r="D3" s="63">
        <v>19340</v>
      </c>
      <c r="E3" s="63">
        <v>19963</v>
      </c>
      <c r="F3" s="63">
        <v>22126</v>
      </c>
      <c r="G3" s="63">
        <v>23920</v>
      </c>
      <c r="H3" s="63">
        <v>28845</v>
      </c>
      <c r="I3" s="63">
        <v>32921</v>
      </c>
      <c r="J3" s="63">
        <v>37605</v>
      </c>
      <c r="K3" s="63">
        <v>39523</v>
      </c>
      <c r="L3" s="63">
        <v>41591</v>
      </c>
    </row>
    <row r="4" spans="2:14" x14ac:dyDescent="0.3">
      <c r="B4" s="65" t="s">
        <v>69</v>
      </c>
      <c r="C4" s="66">
        <v>-1654</v>
      </c>
      <c r="D4" s="66">
        <v>-1743</v>
      </c>
      <c r="E4" s="66">
        <v>-1523</v>
      </c>
      <c r="F4" s="66">
        <v>-2881</v>
      </c>
      <c r="G4" s="66">
        <v>-3861</v>
      </c>
      <c r="H4" s="66">
        <v>-1835</v>
      </c>
      <c r="I4" s="66">
        <v>-7937</v>
      </c>
      <c r="J4" s="66">
        <v>-7076</v>
      </c>
      <c r="K4" s="66">
        <v>-2667</v>
      </c>
      <c r="L4" s="66">
        <v>-1769</v>
      </c>
    </row>
    <row r="5" spans="2:14" x14ac:dyDescent="0.3">
      <c r="B5" s="65" t="s">
        <v>111</v>
      </c>
      <c r="C5" s="67">
        <v>242</v>
      </c>
      <c r="D5" s="67">
        <v>-19</v>
      </c>
      <c r="E5" s="67">
        <v>328</v>
      </c>
      <c r="F5" s="67">
        <v>916</v>
      </c>
      <c r="G5" s="67">
        <v>-373</v>
      </c>
      <c r="H5" s="67">
        <v>-245</v>
      </c>
      <c r="I5" s="66">
        <v>1489</v>
      </c>
      <c r="J5" s="67">
        <v>-279</v>
      </c>
      <c r="K5" s="67">
        <v>91</v>
      </c>
      <c r="L5" s="67">
        <v>176</v>
      </c>
      <c r="N5" t="s">
        <v>128</v>
      </c>
    </row>
    <row r="6" spans="2:14" x14ac:dyDescent="0.3">
      <c r="B6" s="65" t="s">
        <v>112</v>
      </c>
      <c r="C6" s="66">
        <v>-1134</v>
      </c>
      <c r="D6" s="67">
        <v>0</v>
      </c>
      <c r="E6" s="67">
        <v>0</v>
      </c>
      <c r="F6" s="67">
        <v>0</v>
      </c>
      <c r="G6" s="67">
        <v>0</v>
      </c>
      <c r="H6" s="67">
        <v>-534</v>
      </c>
      <c r="I6" s="66">
        <v>-1914</v>
      </c>
      <c r="J6" s="66">
        <v>-3108</v>
      </c>
      <c r="K6" s="66">
        <v>-1172</v>
      </c>
      <c r="L6" s="66">
        <v>-1024</v>
      </c>
    </row>
    <row r="7" spans="2:14" ht="15" thickBot="1" x14ac:dyDescent="0.35">
      <c r="B7" s="65" t="s">
        <v>113</v>
      </c>
      <c r="C7" s="67">
        <v>600</v>
      </c>
      <c r="D7" s="67">
        <v>-394</v>
      </c>
      <c r="E7" s="66">
        <v>1279</v>
      </c>
      <c r="F7" s="66">
        <v>1512</v>
      </c>
      <c r="G7" s="66">
        <v>1867</v>
      </c>
      <c r="H7" s="66">
        <v>3382</v>
      </c>
      <c r="I7" s="66">
        <v>6938</v>
      </c>
      <c r="J7" s="66">
        <v>4119</v>
      </c>
      <c r="K7" s="66">
        <v>-1334</v>
      </c>
      <c r="L7" s="66">
        <v>2322</v>
      </c>
    </row>
    <row r="8" spans="2:14" x14ac:dyDescent="0.3">
      <c r="B8" s="64" t="s">
        <v>114</v>
      </c>
      <c r="C8" s="63">
        <v>-1946</v>
      </c>
      <c r="D8" s="63">
        <v>-2156</v>
      </c>
      <c r="E8" s="68">
        <v>84</v>
      </c>
      <c r="F8" s="68">
        <v>-453</v>
      </c>
      <c r="G8" s="63">
        <v>-2367</v>
      </c>
      <c r="H8" s="68">
        <v>768</v>
      </c>
      <c r="I8" s="63">
        <v>-1424</v>
      </c>
      <c r="J8" s="63">
        <v>-6344</v>
      </c>
      <c r="K8" s="63">
        <v>-5082</v>
      </c>
      <c r="L8" s="68">
        <v>-295</v>
      </c>
    </row>
    <row r="9" spans="2:14" ht="15" thickBot="1" x14ac:dyDescent="0.35">
      <c r="B9" s="65" t="s">
        <v>115</v>
      </c>
      <c r="C9" s="66">
        <v>-5865</v>
      </c>
      <c r="D9" s="66">
        <v>-5653</v>
      </c>
      <c r="E9" s="66">
        <v>-6829</v>
      </c>
      <c r="F9" s="66">
        <v>-6832</v>
      </c>
      <c r="G9" s="66">
        <v>-4550</v>
      </c>
      <c r="H9" s="66">
        <v>-6389</v>
      </c>
      <c r="I9" s="66">
        <v>-7612</v>
      </c>
      <c r="J9" s="66">
        <v>-8794</v>
      </c>
      <c r="K9" s="66">
        <v>-9231</v>
      </c>
      <c r="L9" s="66">
        <v>-5602</v>
      </c>
    </row>
    <row r="10" spans="2:14" x14ac:dyDescent="0.3">
      <c r="B10" s="69" t="s">
        <v>170</v>
      </c>
      <c r="C10" s="71">
        <v>-885</v>
      </c>
      <c r="D10" s="70">
        <v>-14664</v>
      </c>
      <c r="E10" s="70">
        <v>4533</v>
      </c>
      <c r="F10" s="71">
        <v>-632</v>
      </c>
      <c r="G10" s="71">
        <v>-331</v>
      </c>
      <c r="H10" s="70">
        <v>-7373</v>
      </c>
      <c r="I10" s="70">
        <v>-6485</v>
      </c>
      <c r="J10" s="70">
        <v>-1071</v>
      </c>
      <c r="K10" s="70">
        <v>-5093</v>
      </c>
      <c r="L10" s="70">
        <v>-1864</v>
      </c>
    </row>
    <row r="11" spans="2:14" x14ac:dyDescent="0.3">
      <c r="B11" s="72" t="s">
        <v>116</v>
      </c>
      <c r="C11" s="73">
        <v>-2723</v>
      </c>
      <c r="D11" s="73">
        <v>-2760</v>
      </c>
      <c r="E11" s="73">
        <v>-1998</v>
      </c>
      <c r="F11" s="73">
        <v>-2445</v>
      </c>
      <c r="G11" s="73">
        <v>-3307</v>
      </c>
      <c r="H11" s="73">
        <v>-2107</v>
      </c>
      <c r="I11" s="73">
        <v>-2161</v>
      </c>
      <c r="J11" s="73">
        <v>-2579</v>
      </c>
      <c r="K11" s="73">
        <v>-2201</v>
      </c>
      <c r="L11" s="73">
        <v>-2237</v>
      </c>
    </row>
    <row r="12" spans="2:14" x14ac:dyDescent="0.3">
      <c r="B12" s="72" t="s">
        <v>117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74">
        <v>0</v>
      </c>
    </row>
    <row r="13" spans="2:14" x14ac:dyDescent="0.3">
      <c r="B13" s="72" t="s">
        <v>118</v>
      </c>
      <c r="C13" s="73">
        <v>-24577</v>
      </c>
      <c r="D13" s="73">
        <v>-66410</v>
      </c>
      <c r="E13" s="73">
        <v>-69159</v>
      </c>
      <c r="F13" s="73">
        <v>-79410</v>
      </c>
      <c r="G13" s="73">
        <v>-37482</v>
      </c>
      <c r="H13" s="73">
        <v>-46738</v>
      </c>
      <c r="I13" s="73">
        <v>-59951</v>
      </c>
      <c r="J13" s="73">
        <v>-75800</v>
      </c>
      <c r="K13" s="73">
        <v>-78118</v>
      </c>
      <c r="L13" s="73">
        <v>-82753</v>
      </c>
    </row>
    <row r="14" spans="2:14" x14ac:dyDescent="0.3">
      <c r="B14" s="72" t="s">
        <v>119</v>
      </c>
      <c r="C14" s="73">
        <v>24980</v>
      </c>
      <c r="D14" s="73">
        <v>52048</v>
      </c>
      <c r="E14" s="73">
        <v>74003</v>
      </c>
      <c r="F14" s="73">
        <v>78098</v>
      </c>
      <c r="G14" s="73">
        <v>38861</v>
      </c>
      <c r="H14" s="73">
        <v>40381</v>
      </c>
      <c r="I14" s="73">
        <v>57356</v>
      </c>
      <c r="J14" s="73">
        <v>76722</v>
      </c>
      <c r="K14" s="73">
        <v>72956</v>
      </c>
      <c r="L14" s="73">
        <v>84888</v>
      </c>
    </row>
    <row r="15" spans="2:14" x14ac:dyDescent="0.3">
      <c r="B15" s="72" t="s">
        <v>120</v>
      </c>
      <c r="C15" s="73">
        <v>2383</v>
      </c>
      <c r="D15" s="74">
        <v>0</v>
      </c>
      <c r="E15" s="74">
        <v>0</v>
      </c>
      <c r="F15" s="74">
        <v>0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</row>
    <row r="16" spans="2:14" x14ac:dyDescent="0.3">
      <c r="B16" s="72" t="s">
        <v>167</v>
      </c>
      <c r="C16" s="74">
        <v>0</v>
      </c>
      <c r="D16" s="73">
        <v>2753</v>
      </c>
      <c r="E16" s="73">
        <v>1768</v>
      </c>
      <c r="F16" s="73">
        <v>1557</v>
      </c>
      <c r="G16" s="73">
        <v>1929</v>
      </c>
      <c r="H16" s="73">
        <v>1418</v>
      </c>
      <c r="I16" s="73">
        <v>1898</v>
      </c>
      <c r="J16" s="73">
        <v>1525</v>
      </c>
      <c r="K16" s="73">
        <v>1768</v>
      </c>
      <c r="L16" s="73">
        <v>2040</v>
      </c>
    </row>
    <row r="17" spans="2:12" x14ac:dyDescent="0.3">
      <c r="B17" s="72" t="s">
        <v>121</v>
      </c>
      <c r="C17" s="74">
        <v>-747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</row>
    <row r="18" spans="2:12" x14ac:dyDescent="0.3">
      <c r="B18" s="72" t="s">
        <v>168</v>
      </c>
      <c r="C18" s="74">
        <v>-142</v>
      </c>
      <c r="D18" s="74">
        <v>-164</v>
      </c>
      <c r="E18" s="74">
        <v>-130</v>
      </c>
      <c r="F18" s="74">
        <v>-24</v>
      </c>
      <c r="G18" s="74">
        <v>-108</v>
      </c>
      <c r="H18" s="74">
        <v>0</v>
      </c>
      <c r="I18" s="74">
        <v>0</v>
      </c>
      <c r="J18" s="74">
        <v>0</v>
      </c>
      <c r="K18" s="74">
        <v>0</v>
      </c>
      <c r="L18" s="74">
        <v>0</v>
      </c>
    </row>
    <row r="19" spans="2:12" ht="15" thickBot="1" x14ac:dyDescent="0.35">
      <c r="B19" s="72" t="s">
        <v>122</v>
      </c>
      <c r="C19" s="74">
        <v>-59</v>
      </c>
      <c r="D19" s="74">
        <v>-131</v>
      </c>
      <c r="E19" s="74">
        <v>49</v>
      </c>
      <c r="F19" s="73">
        <v>1592</v>
      </c>
      <c r="G19" s="74">
        <v>-224</v>
      </c>
      <c r="H19" s="74">
        <v>-327</v>
      </c>
      <c r="I19" s="73">
        <v>-3627</v>
      </c>
      <c r="J19" s="74">
        <v>-939</v>
      </c>
      <c r="K19" s="74">
        <v>502</v>
      </c>
      <c r="L19" s="73">
        <v>-3802</v>
      </c>
    </row>
    <row r="20" spans="2:12" x14ac:dyDescent="0.3">
      <c r="B20" s="62" t="s">
        <v>171</v>
      </c>
      <c r="C20" s="63">
        <v>-6813</v>
      </c>
      <c r="D20" s="63">
        <v>-6939</v>
      </c>
      <c r="E20" s="63">
        <v>-20505</v>
      </c>
      <c r="F20" s="63">
        <v>-14512</v>
      </c>
      <c r="G20" s="63">
        <v>-17591</v>
      </c>
      <c r="H20" s="63">
        <v>-9786</v>
      </c>
      <c r="I20" s="63">
        <v>-24642</v>
      </c>
      <c r="J20" s="63">
        <v>-26695</v>
      </c>
      <c r="K20" s="63">
        <v>-17504</v>
      </c>
      <c r="L20" s="63">
        <v>-24161</v>
      </c>
    </row>
    <row r="21" spans="2:12" x14ac:dyDescent="0.3">
      <c r="B21" s="65" t="s">
        <v>123</v>
      </c>
      <c r="C21" s="67">
        <v>0</v>
      </c>
      <c r="D21" s="67">
        <v>0</v>
      </c>
      <c r="E21" s="67">
        <v>5</v>
      </c>
      <c r="F21" s="67">
        <v>6</v>
      </c>
      <c r="G21" s="67">
        <v>6</v>
      </c>
      <c r="H21" s="67">
        <v>15</v>
      </c>
      <c r="I21" s="67">
        <v>21</v>
      </c>
      <c r="J21" s="67">
        <v>35</v>
      </c>
      <c r="K21" s="67">
        <v>5</v>
      </c>
      <c r="L21" s="67">
        <v>6</v>
      </c>
    </row>
    <row r="22" spans="2:12" x14ac:dyDescent="0.3">
      <c r="B22" s="65" t="s">
        <v>124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-985</v>
      </c>
    </row>
    <row r="23" spans="2:12" x14ac:dyDescent="0.3">
      <c r="B23" s="65" t="s">
        <v>125</v>
      </c>
      <c r="C23" s="66">
        <v>-6813</v>
      </c>
      <c r="D23" s="66">
        <v>-6939</v>
      </c>
      <c r="E23" s="66">
        <v>-7464</v>
      </c>
      <c r="F23" s="66">
        <v>-13705</v>
      </c>
      <c r="G23" s="66">
        <v>-9548</v>
      </c>
      <c r="H23" s="66">
        <v>-9137</v>
      </c>
      <c r="I23" s="66">
        <v>-12731</v>
      </c>
      <c r="J23" s="66">
        <v>-13653</v>
      </c>
      <c r="K23" s="66">
        <v>-14731</v>
      </c>
      <c r="L23" s="66">
        <v>-20289</v>
      </c>
    </row>
    <row r="24" spans="2:12" x14ac:dyDescent="0.3">
      <c r="B24" s="65" t="s">
        <v>126</v>
      </c>
      <c r="C24" s="67">
        <v>0</v>
      </c>
      <c r="D24" s="67">
        <v>0</v>
      </c>
      <c r="E24" s="67">
        <v>0</v>
      </c>
      <c r="F24" s="67">
        <v>0</v>
      </c>
      <c r="G24" s="67">
        <v>-571</v>
      </c>
      <c r="H24" s="67">
        <v>-698</v>
      </c>
      <c r="I24" s="67">
        <v>-915</v>
      </c>
      <c r="J24" s="66">
        <v>-1231</v>
      </c>
      <c r="K24" s="66">
        <v>-2024</v>
      </c>
      <c r="L24" s="66">
        <v>-2355</v>
      </c>
    </row>
    <row r="25" spans="2:12" ht="15" thickBot="1" x14ac:dyDescent="0.35">
      <c r="B25" s="65" t="s">
        <v>127</v>
      </c>
      <c r="C25" s="67">
        <v>0</v>
      </c>
      <c r="D25" s="67">
        <v>0</v>
      </c>
      <c r="E25" s="66">
        <v>-13046</v>
      </c>
      <c r="F25" s="67">
        <v>-813</v>
      </c>
      <c r="G25" s="66">
        <v>-7478</v>
      </c>
      <c r="H25" s="67">
        <v>34</v>
      </c>
      <c r="I25" s="66">
        <v>-11017</v>
      </c>
      <c r="J25" s="66">
        <v>-11846</v>
      </c>
      <c r="K25" s="67">
        <v>-754</v>
      </c>
      <c r="L25" s="67">
        <v>-538</v>
      </c>
    </row>
    <row r="26" spans="2:12" x14ac:dyDescent="0.3">
      <c r="B26" s="69" t="s">
        <v>35</v>
      </c>
      <c r="C26" s="70">
        <v>2330</v>
      </c>
      <c r="D26" s="70">
        <v>-10072</v>
      </c>
      <c r="E26" s="70">
        <v>-2754</v>
      </c>
      <c r="F26" s="71">
        <v>-303</v>
      </c>
      <c r="G26" s="71">
        <v>-919</v>
      </c>
      <c r="H26" s="70">
        <v>6065</v>
      </c>
      <c r="I26" s="70">
        <v>-7242</v>
      </c>
      <c r="J26" s="70">
        <v>-5299</v>
      </c>
      <c r="K26" s="70">
        <v>2613</v>
      </c>
      <c r="L26" s="70">
        <v>9669</v>
      </c>
    </row>
    <row r="27" spans="2:12" ht="15" thickBot="1" x14ac:dyDescent="0.35">
      <c r="B27" s="30"/>
      <c r="C27" s="31"/>
      <c r="D27" s="31"/>
      <c r="E27" s="31"/>
      <c r="F27" s="31"/>
      <c r="G27" s="31"/>
      <c r="H27" s="31"/>
      <c r="I27" s="31"/>
      <c r="J27" s="31"/>
      <c r="K27" s="32"/>
      <c r="L27" s="32"/>
    </row>
    <row r="28" spans="2:12" x14ac:dyDescent="0.3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Profit &amp; Loss</vt:lpstr>
      <vt:lpstr>Quarters</vt:lpstr>
      <vt:lpstr>Balance Sheet</vt:lpstr>
      <vt:lpstr>Cash Flow</vt:lpstr>
      <vt:lpstr>Financials&gt;</vt:lpstr>
      <vt:lpstr>Historical FS</vt:lpstr>
      <vt:lpstr>Ratio Analysis</vt:lpstr>
      <vt:lpstr>Data&gt;</vt:lpstr>
      <vt:lpstr>Data Sheet</vt:lpstr>
      <vt:lpstr>Cashflow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HP Pavilion</cp:lastModifiedBy>
  <cp:lastPrinted>2026-03-09T12:42:56Z</cp:lastPrinted>
  <dcterms:created xsi:type="dcterms:W3CDTF">2012-08-17T09:55:37Z</dcterms:created>
  <dcterms:modified xsi:type="dcterms:W3CDTF">2026-03-28T09:41:34Z</dcterms:modified>
</cp:coreProperties>
</file>