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ker Mahekkumar\Downloads\Inofsys Financial Modeling\"/>
    </mc:Choice>
  </mc:AlternateContent>
  <xr:revisionPtr revIDLastSave="0" documentId="13_ncr:1_{3FAE631B-1F97-4CD0-93DF-94828C7FEB40}" xr6:coauthVersionLast="47" xr6:coauthVersionMax="47" xr10:uidLastSave="{00000000-0000-0000-0000-000000000000}"/>
  <bookViews>
    <workbookView xWindow="-108" yWindow="-108" windowWidth="23256" windowHeight="12456" tabRatio="809" firstSheet="4" activeTab="12" xr2:uid="{339F6711-021E-435A-A40C-F28B99AF23B4}"/>
  </bookViews>
  <sheets>
    <sheet name="DCF&gt;" sheetId="1" r:id="rId1"/>
    <sheet name="WACC" sheetId="2" r:id="rId2"/>
    <sheet name="Beta- Comparison" sheetId="4" r:id="rId3"/>
    <sheet name="Beta - Regression" sheetId="3" r:id="rId4"/>
    <sheet name="Market Return" sheetId="5" r:id="rId5"/>
    <sheet name="Intrinsic Growth" sheetId="6" r:id="rId6"/>
    <sheet name="DCF" sheetId="7" r:id="rId7"/>
    <sheet name="Dupont nalysis" sheetId="16" r:id="rId8"/>
    <sheet name="Altman's Z Score" sheetId="19" r:id="rId9"/>
    <sheet name="Data Room&gt;" sheetId="9" r:id="rId10"/>
    <sheet name="Historical FS" sheetId="8" r:id="rId11"/>
    <sheet name="Data Sheet" sheetId="10" r:id="rId12"/>
    <sheet name="Raw FS" sheetId="11" r:id="rId13"/>
  </sheets>
  <externalReferences>
    <externalReference r:id="rId14"/>
  </externalReferences>
  <definedNames>
    <definedName name="_xlnm._FilterDatabase" localSheetId="3" hidden="1">'Beta - Regression'!$F$4:$H$109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78" i="19" l="1"/>
  <c r="E78" i="19"/>
  <c r="F78" i="19"/>
  <c r="G78" i="19"/>
  <c r="H78" i="19"/>
  <c r="I78" i="19"/>
  <c r="C78" i="19"/>
  <c r="D73" i="19"/>
  <c r="E73" i="19"/>
  <c r="F73" i="19"/>
  <c r="G73" i="19"/>
  <c r="H73" i="19"/>
  <c r="I73" i="19"/>
  <c r="C73" i="19"/>
  <c r="D72" i="19"/>
  <c r="E72" i="19"/>
  <c r="F72" i="19"/>
  <c r="G72" i="19"/>
  <c r="H72" i="19"/>
  <c r="I72" i="19"/>
  <c r="C72" i="19"/>
  <c r="D67" i="19"/>
  <c r="E67" i="19"/>
  <c r="F67" i="19"/>
  <c r="G67" i="19"/>
  <c r="H67" i="19"/>
  <c r="I67" i="19"/>
  <c r="C67" i="19"/>
  <c r="D62" i="19"/>
  <c r="E62" i="19"/>
  <c r="F62" i="19"/>
  <c r="G62" i="19"/>
  <c r="H62" i="19"/>
  <c r="I62" i="19"/>
  <c r="C62" i="19"/>
  <c r="C63" i="19"/>
  <c r="C79" i="19" s="1"/>
  <c r="D57" i="19"/>
  <c r="D63" i="19" s="1"/>
  <c r="E57" i="19"/>
  <c r="E63" i="19" s="1"/>
  <c r="F57" i="19"/>
  <c r="F63" i="19" s="1"/>
  <c r="F79" i="19" s="1"/>
  <c r="G57" i="19"/>
  <c r="G63" i="19" s="1"/>
  <c r="G79" i="19" s="1"/>
  <c r="H57" i="19"/>
  <c r="H63" i="19" s="1"/>
  <c r="H79" i="19" s="1"/>
  <c r="I57" i="19"/>
  <c r="I63" i="19" s="1"/>
  <c r="I79" i="19" s="1"/>
  <c r="C57" i="19"/>
  <c r="D56" i="19"/>
  <c r="E56" i="19"/>
  <c r="F56" i="19"/>
  <c r="G56" i="19"/>
  <c r="H56" i="19"/>
  <c r="I56" i="19"/>
  <c r="C56" i="19"/>
  <c r="C55" i="19"/>
  <c r="C61" i="19" s="1"/>
  <c r="C77" i="19" s="1"/>
  <c r="C83" i="19" s="1"/>
  <c r="D55" i="19"/>
  <c r="D61" i="19" s="1"/>
  <c r="D77" i="19" s="1"/>
  <c r="D83" i="19" s="1"/>
  <c r="E55" i="19"/>
  <c r="E61" i="19" s="1"/>
  <c r="E77" i="19" s="1"/>
  <c r="E83" i="19" s="1"/>
  <c r="F55" i="19"/>
  <c r="F61" i="19" s="1"/>
  <c r="F77" i="19" s="1"/>
  <c r="F83" i="19" s="1"/>
  <c r="G55" i="19"/>
  <c r="H55" i="19"/>
  <c r="I55" i="19"/>
  <c r="I61" i="19" s="1"/>
  <c r="I77" i="19" s="1"/>
  <c r="I83" i="19" s="1"/>
  <c r="H61" i="19"/>
  <c r="H77" i="19" s="1"/>
  <c r="H83" i="19" s="1"/>
  <c r="G61" i="19"/>
  <c r="G77" i="19" s="1"/>
  <c r="G83" i="19" s="1"/>
  <c r="C28" i="7"/>
  <c r="C20" i="7"/>
  <c r="G10" i="7"/>
  <c r="G7" i="7"/>
  <c r="J7" i="7"/>
  <c r="G12" i="7"/>
  <c r="G4" i="7"/>
  <c r="E51" i="6"/>
  <c r="E49" i="6"/>
  <c r="D37" i="6"/>
  <c r="D34" i="6"/>
  <c r="E43" i="6"/>
  <c r="D17" i="6"/>
  <c r="J25" i="2"/>
  <c r="D31" i="2"/>
  <c r="E22" i="2"/>
  <c r="K4" i="3"/>
  <c r="E68" i="19" l="1"/>
  <c r="E79" i="19"/>
  <c r="D68" i="19"/>
  <c r="D79" i="19"/>
  <c r="C68" i="19"/>
  <c r="I68" i="19"/>
  <c r="H68" i="19"/>
  <c r="G68" i="19"/>
  <c r="F68" i="19"/>
  <c r="G58" i="19"/>
  <c r="H80" i="19"/>
  <c r="F64" i="19"/>
  <c r="D74" i="19"/>
  <c r="E74" i="19"/>
  <c r="I64" i="19"/>
  <c r="C58" i="19"/>
  <c r="I58" i="19"/>
  <c r="G80" i="19"/>
  <c r="C64" i="19"/>
  <c r="E58" i="19"/>
  <c r="E64" i="19"/>
  <c r="G69" i="19"/>
  <c r="D58" i="19"/>
  <c r="F74" i="19"/>
  <c r="G74" i="19"/>
  <c r="F58" i="19"/>
  <c r="H74" i="19"/>
  <c r="G64" i="19"/>
  <c r="D80" i="19"/>
  <c r="E80" i="19"/>
  <c r="D64" i="19"/>
  <c r="F80" i="19"/>
  <c r="H69" i="19"/>
  <c r="C80" i="19"/>
  <c r="I74" i="19"/>
  <c r="H58" i="19"/>
  <c r="H64" i="19"/>
  <c r="N2" i="3"/>
  <c r="E69" i="19" l="1"/>
  <c r="D69" i="19"/>
  <c r="H84" i="19"/>
  <c r="H85" i="19" s="1"/>
  <c r="C69" i="19"/>
  <c r="C84" i="19" s="1"/>
  <c r="C85" i="19" s="1"/>
  <c r="G84" i="19"/>
  <c r="G85" i="19" s="1"/>
  <c r="D84" i="19"/>
  <c r="D85" i="19" s="1"/>
  <c r="E84" i="19"/>
  <c r="E85" i="19" s="1"/>
  <c r="F69" i="19"/>
  <c r="F84" i="19" s="1"/>
  <c r="F85" i="19" s="1"/>
  <c r="I80" i="19"/>
  <c r="I69" i="19"/>
  <c r="I84" i="19" s="1"/>
  <c r="I85" i="19" s="1"/>
  <c r="H43" i="6"/>
  <c r="C22" i="7"/>
  <c r="K33" i="10"/>
  <c r="F4" i="7" s="1"/>
  <c r="J33" i="10"/>
  <c r="B3" i="16" l="1"/>
  <c r="C73" i="16"/>
  <c r="D73" i="16"/>
  <c r="E73" i="16"/>
  <c r="F73" i="16"/>
  <c r="G73" i="16"/>
  <c r="H73" i="16"/>
  <c r="I73" i="16"/>
  <c r="C85" i="16"/>
  <c r="C95" i="16" s="1"/>
  <c r="C76" i="16" s="1"/>
  <c r="D85" i="16"/>
  <c r="D95" i="16" s="1"/>
  <c r="D76" i="16" s="1"/>
  <c r="E85" i="16"/>
  <c r="E95" i="16" s="1"/>
  <c r="E76" i="16" s="1"/>
  <c r="F85" i="16"/>
  <c r="F95" i="16" s="1"/>
  <c r="F76" i="16" s="1"/>
  <c r="G85" i="16"/>
  <c r="G95" i="16" s="1"/>
  <c r="G76" i="16" s="1"/>
  <c r="H85" i="16"/>
  <c r="H95" i="16" s="1"/>
  <c r="H76" i="16" s="1"/>
  <c r="I85" i="16"/>
  <c r="I95" i="16" s="1"/>
  <c r="I76" i="16" s="1"/>
  <c r="C69" i="16"/>
  <c r="C72" i="16" s="1"/>
  <c r="D69" i="16"/>
  <c r="D72" i="16" s="1"/>
  <c r="E69" i="16"/>
  <c r="E72" i="16" s="1"/>
  <c r="F69" i="16"/>
  <c r="F72" i="16" s="1"/>
  <c r="G69" i="16"/>
  <c r="G72" i="16" s="1"/>
  <c r="H69" i="16"/>
  <c r="H72" i="16" s="1"/>
  <c r="H91" i="16" s="1"/>
  <c r="H94" i="16" s="1"/>
  <c r="I69" i="16"/>
  <c r="I72" i="16" s="1"/>
  <c r="B85" i="16"/>
  <c r="B77" i="16"/>
  <c r="B76" i="16"/>
  <c r="C63" i="16"/>
  <c r="C77" i="16" s="1"/>
  <c r="D63" i="16"/>
  <c r="D77" i="16" s="1"/>
  <c r="E63" i="16"/>
  <c r="E77" i="16" s="1"/>
  <c r="F63" i="16"/>
  <c r="F77" i="16" s="1"/>
  <c r="G63" i="16"/>
  <c r="G77" i="16" s="1"/>
  <c r="H63" i="16"/>
  <c r="H77" i="16" s="1"/>
  <c r="I63" i="16"/>
  <c r="I77" i="16" s="1"/>
  <c r="C62" i="16"/>
  <c r="C84" i="16" s="1"/>
  <c r="D62" i="16"/>
  <c r="D84" i="16" s="1"/>
  <c r="E62" i="16"/>
  <c r="E84" i="16" s="1"/>
  <c r="F62" i="16"/>
  <c r="F84" i="16" s="1"/>
  <c r="G62" i="16"/>
  <c r="G68" i="16" s="1"/>
  <c r="H62" i="16"/>
  <c r="H68" i="16" s="1"/>
  <c r="I62" i="16"/>
  <c r="I90" i="16" s="1"/>
  <c r="C61" i="16"/>
  <c r="C67" i="16" s="1"/>
  <c r="D61" i="16"/>
  <c r="D89" i="16" s="1"/>
  <c r="E61" i="16"/>
  <c r="E89" i="16" s="1"/>
  <c r="F61" i="16"/>
  <c r="F89" i="16" s="1"/>
  <c r="G61" i="16"/>
  <c r="G67" i="16" s="1"/>
  <c r="H61" i="16"/>
  <c r="H83" i="16" s="1"/>
  <c r="I61" i="16"/>
  <c r="I83" i="16" s="1"/>
  <c r="D51" i="3"/>
  <c r="H51" i="3"/>
  <c r="D52" i="3"/>
  <c r="H52" i="3"/>
  <c r="D53" i="3"/>
  <c r="H53" i="3"/>
  <c r="D54" i="3"/>
  <c r="H54" i="3"/>
  <c r="D55" i="3"/>
  <c r="H55" i="3"/>
  <c r="D56" i="3"/>
  <c r="H56" i="3"/>
  <c r="D57" i="3"/>
  <c r="H57" i="3"/>
  <c r="D58" i="3"/>
  <c r="H58" i="3"/>
  <c r="D59" i="3"/>
  <c r="H59" i="3"/>
  <c r="D60" i="3"/>
  <c r="H60" i="3"/>
  <c r="C33" i="7"/>
  <c r="C32" i="7"/>
  <c r="H9" i="7"/>
  <c r="I9" i="7" s="1"/>
  <c r="C33" i="10"/>
  <c r="D33" i="10"/>
  <c r="E33" i="10"/>
  <c r="F33" i="10"/>
  <c r="G33" i="10"/>
  <c r="H33" i="10"/>
  <c r="I33" i="10"/>
  <c r="B33" i="10"/>
  <c r="E42" i="6"/>
  <c r="F42" i="6"/>
  <c r="G42" i="6"/>
  <c r="H42" i="6"/>
  <c r="H49" i="6" s="1"/>
  <c r="H51" i="6" s="1"/>
  <c r="D42" i="6"/>
  <c r="E35" i="6"/>
  <c r="E45" i="6" s="1"/>
  <c r="E47" i="6" s="1"/>
  <c r="F35" i="6"/>
  <c r="F45" i="6" s="1"/>
  <c r="F47" i="6" s="1"/>
  <c r="G35" i="6"/>
  <c r="G45" i="6" s="1"/>
  <c r="G47" i="6" s="1"/>
  <c r="H35" i="6"/>
  <c r="H45" i="6" s="1"/>
  <c r="H47" i="6" s="1"/>
  <c r="D35" i="6"/>
  <c r="D45" i="6" s="1"/>
  <c r="D47" i="6" s="1"/>
  <c r="E31" i="6"/>
  <c r="F31" i="6"/>
  <c r="G31" i="6"/>
  <c r="H31" i="6"/>
  <c r="D31" i="6"/>
  <c r="E25" i="6"/>
  <c r="F25" i="6"/>
  <c r="G25" i="6"/>
  <c r="H25" i="6"/>
  <c r="E26" i="6"/>
  <c r="F26" i="6"/>
  <c r="G26" i="6"/>
  <c r="H26" i="6"/>
  <c r="E27" i="6"/>
  <c r="F27" i="6"/>
  <c r="G27" i="6"/>
  <c r="H27" i="6"/>
  <c r="E28" i="6"/>
  <c r="F28" i="6"/>
  <c r="G28" i="6"/>
  <c r="H28" i="6"/>
  <c r="D26" i="6"/>
  <c r="D27" i="6"/>
  <c r="D28" i="6"/>
  <c r="D25" i="6"/>
  <c r="E24" i="6"/>
  <c r="F24" i="6"/>
  <c r="G24" i="6"/>
  <c r="H24" i="6"/>
  <c r="D24" i="6"/>
  <c r="E20" i="6"/>
  <c r="F20" i="6"/>
  <c r="G20" i="6"/>
  <c r="H20" i="6"/>
  <c r="H30" i="6" s="1"/>
  <c r="H32" i="6" s="1"/>
  <c r="E21" i="6"/>
  <c r="F21" i="6"/>
  <c r="G21" i="6"/>
  <c r="H21" i="6"/>
  <c r="E22" i="6"/>
  <c r="F22" i="6"/>
  <c r="G22" i="6"/>
  <c r="H22" i="6"/>
  <c r="E23" i="6"/>
  <c r="F23" i="6"/>
  <c r="G23" i="6"/>
  <c r="H23" i="6"/>
  <c r="D21" i="6"/>
  <c r="D22" i="6"/>
  <c r="D23" i="6"/>
  <c r="D20" i="6"/>
  <c r="E12" i="6"/>
  <c r="F12" i="6"/>
  <c r="G12" i="6"/>
  <c r="H12" i="6"/>
  <c r="E13" i="6"/>
  <c r="F13" i="6"/>
  <c r="G13" i="6"/>
  <c r="H13" i="6"/>
  <c r="E14" i="6"/>
  <c r="F14" i="6"/>
  <c r="G14" i="6"/>
  <c r="H14" i="6"/>
  <c r="D13" i="6"/>
  <c r="D14" i="6"/>
  <c r="D12" i="6"/>
  <c r="E8" i="6"/>
  <c r="F8" i="6"/>
  <c r="G8" i="6"/>
  <c r="H8" i="6"/>
  <c r="D8" i="6"/>
  <c r="E7" i="6"/>
  <c r="F7" i="6"/>
  <c r="G7" i="6"/>
  <c r="H7" i="6"/>
  <c r="D7" i="6"/>
  <c r="E6" i="6"/>
  <c r="F6" i="6"/>
  <c r="G6" i="6"/>
  <c r="H6" i="6"/>
  <c r="D6" i="6"/>
  <c r="G74" i="16" l="1"/>
  <c r="F74" i="16"/>
  <c r="E74" i="16"/>
  <c r="D86" i="16"/>
  <c r="D83" i="16"/>
  <c r="F68" i="16"/>
  <c r="F70" i="16" s="1"/>
  <c r="C86" i="16"/>
  <c r="E68" i="16"/>
  <c r="E70" i="16" s="1"/>
  <c r="H90" i="16"/>
  <c r="H92" i="16" s="1"/>
  <c r="I84" i="16"/>
  <c r="H78" i="16"/>
  <c r="F64" i="16"/>
  <c r="D68" i="16"/>
  <c r="D70" i="16" s="1"/>
  <c r="E64" i="16"/>
  <c r="D74" i="16"/>
  <c r="D64" i="16"/>
  <c r="C78" i="16"/>
  <c r="D78" i="16"/>
  <c r="G90" i="16"/>
  <c r="F90" i="16"/>
  <c r="I89" i="16"/>
  <c r="E90" i="16"/>
  <c r="G84" i="16"/>
  <c r="G86" i="16" s="1"/>
  <c r="G83" i="16"/>
  <c r="D90" i="16"/>
  <c r="F83" i="16"/>
  <c r="C74" i="16"/>
  <c r="H70" i="16"/>
  <c r="E83" i="16"/>
  <c r="I67" i="16"/>
  <c r="G91" i="16"/>
  <c r="G94" i="16" s="1"/>
  <c r="G96" i="16" s="1"/>
  <c r="I74" i="16"/>
  <c r="I91" i="16"/>
  <c r="I94" i="16" s="1"/>
  <c r="G78" i="16"/>
  <c r="F78" i="16"/>
  <c r="E78" i="16"/>
  <c r="H67" i="16"/>
  <c r="F91" i="16"/>
  <c r="F94" i="16" s="1"/>
  <c r="F96" i="16" s="1"/>
  <c r="H89" i="16"/>
  <c r="E91" i="16"/>
  <c r="G89" i="16"/>
  <c r="H74" i="16"/>
  <c r="F67" i="16"/>
  <c r="D91" i="16"/>
  <c r="H84" i="16"/>
  <c r="H86" i="16" s="1"/>
  <c r="C90" i="16"/>
  <c r="E67" i="16"/>
  <c r="G70" i="16"/>
  <c r="C91" i="16"/>
  <c r="C94" i="16" s="1"/>
  <c r="C96" i="16" s="1"/>
  <c r="C83" i="16"/>
  <c r="D67" i="16"/>
  <c r="I64" i="16"/>
  <c r="C89" i="16"/>
  <c r="I68" i="16"/>
  <c r="I70" i="16" s="1"/>
  <c r="C68" i="16"/>
  <c r="C70" i="16" s="1"/>
  <c r="E86" i="16"/>
  <c r="C64" i="16"/>
  <c r="H64" i="16"/>
  <c r="G64" i="16"/>
  <c r="F86" i="16"/>
  <c r="H96" i="16"/>
  <c r="J9" i="7"/>
  <c r="F6" i="7"/>
  <c r="G30" i="6"/>
  <c r="G32" i="6" s="1"/>
  <c r="E30" i="6"/>
  <c r="E32" i="6" s="1"/>
  <c r="D30" i="6"/>
  <c r="D32" i="6" s="1"/>
  <c r="F30" i="6"/>
  <c r="F32" i="6" s="1"/>
  <c r="F15" i="6"/>
  <c r="D9" i="6"/>
  <c r="E15" i="6"/>
  <c r="H15" i="6"/>
  <c r="D15" i="6"/>
  <c r="G15" i="6"/>
  <c r="G9" i="6"/>
  <c r="G17" i="6" s="1"/>
  <c r="F9" i="6"/>
  <c r="H9" i="6"/>
  <c r="E9" i="6"/>
  <c r="I92" i="16" l="1"/>
  <c r="H80" i="16"/>
  <c r="G92" i="16"/>
  <c r="G80" i="16" s="1"/>
  <c r="C92" i="16"/>
  <c r="D94" i="16"/>
  <c r="D96" i="16" s="1"/>
  <c r="D92" i="16"/>
  <c r="H98" i="16"/>
  <c r="F92" i="16"/>
  <c r="F98" i="16" s="1"/>
  <c r="E92" i="16"/>
  <c r="E94" i="16"/>
  <c r="E96" i="16" s="1"/>
  <c r="K9" i="7"/>
  <c r="G34" i="6"/>
  <c r="G37" i="6" s="1"/>
  <c r="G59" i="6" s="1"/>
  <c r="F17" i="6"/>
  <c r="G43" i="6" s="1"/>
  <c r="G49" i="6" s="1"/>
  <c r="E17" i="6"/>
  <c r="H17" i="6"/>
  <c r="G51" i="6" l="1"/>
  <c r="G58" i="6" s="1"/>
  <c r="G61" i="6" s="1"/>
  <c r="E80" i="16"/>
  <c r="G98" i="16"/>
  <c r="D98" i="16"/>
  <c r="E98" i="16"/>
  <c r="D80" i="16"/>
  <c r="C98" i="16"/>
  <c r="C80" i="16"/>
  <c r="F80" i="16"/>
  <c r="H34" i="6"/>
  <c r="H37" i="6" s="1"/>
  <c r="H59" i="6" s="1"/>
  <c r="H58" i="6"/>
  <c r="H61" i="6" s="1"/>
  <c r="E34" i="6"/>
  <c r="E37" i="6" s="1"/>
  <c r="E59" i="6" s="1"/>
  <c r="F34" i="6"/>
  <c r="F37" i="6" s="1"/>
  <c r="F59" i="6" s="1"/>
  <c r="F43" i="6"/>
  <c r="F49" i="6" s="1"/>
  <c r="F51" i="6" s="1"/>
  <c r="F58" i="6" s="1"/>
  <c r="F61" i="6" s="1"/>
  <c r="D27" i="11"/>
  <c r="E27" i="11"/>
  <c r="F27" i="11"/>
  <c r="G27" i="11"/>
  <c r="H27" i="11"/>
  <c r="I27" i="11"/>
  <c r="J27" i="11"/>
  <c r="K27" i="11"/>
  <c r="L27" i="11"/>
  <c r="M27" i="11"/>
  <c r="N27" i="11"/>
  <c r="C27" i="11"/>
  <c r="E58" i="6" l="1"/>
  <c r="E61" i="6" s="1"/>
  <c r="H53" i="6"/>
  <c r="H54" i="6"/>
  <c r="F7" i="7" s="1"/>
  <c r="F8" i="7" s="1"/>
  <c r="F2" i="7"/>
  <c r="G2" i="7" s="1"/>
  <c r="H2" i="7" s="1"/>
  <c r="I2" i="7" s="1"/>
  <c r="J2" i="7" s="1"/>
  <c r="K2" i="7" s="1"/>
  <c r="E2" i="6"/>
  <c r="E40" i="6" s="1"/>
  <c r="E56" i="6" s="1"/>
  <c r="F2" i="6"/>
  <c r="F40" i="6" s="1"/>
  <c r="F56" i="6" s="1"/>
  <c r="G2" i="6"/>
  <c r="G40" i="6" s="1"/>
  <c r="G56" i="6" s="1"/>
  <c r="H2" i="6"/>
  <c r="H40" i="6" s="1"/>
  <c r="H56" i="6" s="1"/>
  <c r="D2" i="6"/>
  <c r="D40" i="6" s="1"/>
  <c r="D56" i="6" s="1"/>
  <c r="H7" i="7" l="1"/>
  <c r="I7" i="7" s="1"/>
  <c r="H64" i="6"/>
  <c r="C14" i="7" s="1"/>
  <c r="H4" i="7" s="1"/>
  <c r="H63" i="6"/>
  <c r="G4" i="5"/>
  <c r="G6" i="5" s="1"/>
  <c r="J23" i="2" s="1"/>
  <c r="F17" i="2"/>
  <c r="E23" i="2" s="1"/>
  <c r="J32" i="2" s="1"/>
  <c r="F16" i="2"/>
  <c r="H13" i="2"/>
  <c r="H10" i="2"/>
  <c r="G12" i="2"/>
  <c r="J12" i="2" s="1"/>
  <c r="D11" i="2"/>
  <c r="D12" i="2"/>
  <c r="D13" i="2"/>
  <c r="D14" i="2"/>
  <c r="D10" i="2"/>
  <c r="E10" i="2"/>
  <c r="C32" i="2" s="1"/>
  <c r="E11" i="2"/>
  <c r="G11" i="2" s="1"/>
  <c r="J11" i="2" s="1"/>
  <c r="E12" i="2"/>
  <c r="H12" i="2" s="1"/>
  <c r="E13" i="2"/>
  <c r="E14" i="2"/>
  <c r="H14" i="2" s="1"/>
  <c r="N4" i="3"/>
  <c r="K10" i="3" s="1"/>
  <c r="I10" i="2" s="1"/>
  <c r="D7" i="3"/>
  <c r="D8" i="3"/>
  <c r="D9" i="3"/>
  <c r="D10" i="3"/>
  <c r="D11" i="3"/>
  <c r="D12" i="3"/>
  <c r="D13" i="3"/>
  <c r="D14" i="3"/>
  <c r="D15" i="3"/>
  <c r="D16" i="3"/>
  <c r="D17" i="3"/>
  <c r="D18" i="3"/>
  <c r="D19" i="3"/>
  <c r="D20" i="3"/>
  <c r="D21" i="3"/>
  <c r="D22" i="3"/>
  <c r="D23" i="3"/>
  <c r="D24" i="3"/>
  <c r="D25" i="3"/>
  <c r="D26" i="3"/>
  <c r="D27" i="3"/>
  <c r="D28" i="3"/>
  <c r="D29" i="3"/>
  <c r="D30" i="3"/>
  <c r="D31" i="3"/>
  <c r="D32" i="3"/>
  <c r="D33" i="3"/>
  <c r="D34" i="3"/>
  <c r="D35" i="3"/>
  <c r="D36" i="3"/>
  <c r="D37" i="3"/>
  <c r="D38" i="3"/>
  <c r="D39" i="3"/>
  <c r="D40" i="3"/>
  <c r="D41" i="3"/>
  <c r="D42" i="3"/>
  <c r="D43" i="3"/>
  <c r="D44" i="3"/>
  <c r="D45" i="3"/>
  <c r="D46" i="3"/>
  <c r="D47" i="3"/>
  <c r="D48" i="3"/>
  <c r="D49" i="3"/>
  <c r="D50" i="3"/>
  <c r="D61" i="3"/>
  <c r="D62" i="3"/>
  <c r="D63" i="3"/>
  <c r="D64" i="3"/>
  <c r="D65" i="3"/>
  <c r="D66" i="3"/>
  <c r="D67" i="3"/>
  <c r="D68" i="3"/>
  <c r="D69" i="3"/>
  <c r="D70" i="3"/>
  <c r="D71" i="3"/>
  <c r="D72" i="3"/>
  <c r="D73" i="3"/>
  <c r="D74" i="3"/>
  <c r="D75" i="3"/>
  <c r="D76" i="3"/>
  <c r="D77" i="3"/>
  <c r="D78" i="3"/>
  <c r="D79" i="3"/>
  <c r="D80" i="3"/>
  <c r="D81" i="3"/>
  <c r="D82" i="3"/>
  <c r="D83" i="3"/>
  <c r="D84" i="3"/>
  <c r="D85" i="3"/>
  <c r="D86" i="3"/>
  <c r="D87" i="3"/>
  <c r="D88" i="3"/>
  <c r="D89" i="3"/>
  <c r="D90" i="3"/>
  <c r="D91" i="3"/>
  <c r="D92" i="3"/>
  <c r="D93" i="3"/>
  <c r="D94" i="3"/>
  <c r="D95" i="3"/>
  <c r="D96" i="3"/>
  <c r="D97" i="3"/>
  <c r="D98" i="3"/>
  <c r="D99" i="3"/>
  <c r="D100" i="3"/>
  <c r="D101" i="3"/>
  <c r="D102" i="3"/>
  <c r="D103" i="3"/>
  <c r="D104" i="3"/>
  <c r="D105" i="3"/>
  <c r="D106" i="3"/>
  <c r="D107" i="3"/>
  <c r="D108" i="3"/>
  <c r="D6" i="3"/>
  <c r="G14" i="2" l="1"/>
  <c r="J14" i="2" s="1"/>
  <c r="G13" i="2"/>
  <c r="J13" i="2" s="1"/>
  <c r="G10" i="2"/>
  <c r="J10" i="2" s="1"/>
  <c r="G16" i="2"/>
  <c r="G17" i="2"/>
  <c r="E24" i="2"/>
  <c r="I38" i="2" s="1"/>
  <c r="H11" i="2"/>
  <c r="H17" i="2" s="1"/>
  <c r="C31" i="2"/>
  <c r="G6" i="7"/>
  <c r="G8" i="7" s="1"/>
  <c r="I16" i="2"/>
  <c r="I17" i="2"/>
  <c r="C33" i="2" l="1"/>
  <c r="H16" i="2"/>
  <c r="E31" i="2" s="1"/>
  <c r="I4" i="7"/>
  <c r="H6" i="7"/>
  <c r="H8" i="7" s="1"/>
  <c r="J16" i="2"/>
  <c r="J17" i="2"/>
  <c r="J30" i="2" s="1"/>
  <c r="J38" i="2" l="1"/>
  <c r="D33" i="2"/>
  <c r="E33" i="2" s="1"/>
  <c r="E32" i="2" s="1"/>
  <c r="J39" i="2" s="1"/>
  <c r="D32" i="2"/>
  <c r="D35" i="2"/>
  <c r="J4" i="7"/>
  <c r="I6" i="7"/>
  <c r="I8" i="7" s="1"/>
  <c r="H6" i="3"/>
  <c r="H7" i="3"/>
  <c r="H8" i="3"/>
  <c r="H9" i="3"/>
  <c r="H10" i="3"/>
  <c r="H11" i="3"/>
  <c r="H12" i="3"/>
  <c r="H13" i="3"/>
  <c r="H14" i="3"/>
  <c r="H15" i="3"/>
  <c r="H16" i="3"/>
  <c r="H17" i="3"/>
  <c r="H18" i="3"/>
  <c r="H19" i="3"/>
  <c r="H20" i="3"/>
  <c r="H21" i="3"/>
  <c r="H22" i="3"/>
  <c r="H23" i="3"/>
  <c r="H24" i="3"/>
  <c r="H25" i="3"/>
  <c r="H26" i="3"/>
  <c r="H27" i="3"/>
  <c r="H28" i="3"/>
  <c r="H29" i="3"/>
  <c r="H30" i="3"/>
  <c r="H31" i="3"/>
  <c r="H32" i="3"/>
  <c r="H33" i="3"/>
  <c r="H34" i="3"/>
  <c r="H35" i="3"/>
  <c r="H36" i="3"/>
  <c r="H37" i="3"/>
  <c r="H38" i="3"/>
  <c r="H39" i="3"/>
  <c r="H40" i="3"/>
  <c r="H41" i="3"/>
  <c r="H42" i="3"/>
  <c r="H43" i="3"/>
  <c r="H44" i="3"/>
  <c r="H45" i="3"/>
  <c r="H46" i="3"/>
  <c r="H47" i="3"/>
  <c r="H48" i="3"/>
  <c r="H49" i="3"/>
  <c r="H50" i="3"/>
  <c r="H61" i="3"/>
  <c r="H62" i="3"/>
  <c r="H63" i="3"/>
  <c r="H64" i="3"/>
  <c r="H65" i="3"/>
  <c r="H66" i="3"/>
  <c r="H67" i="3"/>
  <c r="H68" i="3"/>
  <c r="H69" i="3"/>
  <c r="H70" i="3"/>
  <c r="H71" i="3"/>
  <c r="H72" i="3"/>
  <c r="H73" i="3"/>
  <c r="H74" i="3"/>
  <c r="H75" i="3"/>
  <c r="H76" i="3"/>
  <c r="H77" i="3"/>
  <c r="H78" i="3"/>
  <c r="H79" i="3"/>
  <c r="H80" i="3"/>
  <c r="H81" i="3"/>
  <c r="H82" i="3"/>
  <c r="H83" i="3"/>
  <c r="H84" i="3"/>
  <c r="H85" i="3"/>
  <c r="H86" i="3"/>
  <c r="H87" i="3"/>
  <c r="H88" i="3"/>
  <c r="H89" i="3"/>
  <c r="H90" i="3"/>
  <c r="H91" i="3"/>
  <c r="H92" i="3"/>
  <c r="H93" i="3"/>
  <c r="H94" i="3"/>
  <c r="H95" i="3"/>
  <c r="H96" i="3"/>
  <c r="H97" i="3"/>
  <c r="H98" i="3"/>
  <c r="H99" i="3"/>
  <c r="H100" i="3"/>
  <c r="H101" i="3"/>
  <c r="H102" i="3"/>
  <c r="H103" i="3"/>
  <c r="H104" i="3"/>
  <c r="H105" i="3"/>
  <c r="H106" i="3"/>
  <c r="H107" i="3"/>
  <c r="H108" i="3"/>
  <c r="L98" i="8"/>
  <c r="K98" i="8"/>
  <c r="L97" i="8"/>
  <c r="K97" i="8"/>
  <c r="J97" i="8"/>
  <c r="I97" i="8"/>
  <c r="H97" i="8"/>
  <c r="G97" i="8"/>
  <c r="F97" i="8"/>
  <c r="E97" i="8"/>
  <c r="D97" i="8"/>
  <c r="C97" i="8"/>
  <c r="L96" i="8"/>
  <c r="K96" i="8"/>
  <c r="J96" i="8"/>
  <c r="I96" i="8"/>
  <c r="H96" i="8"/>
  <c r="G96" i="8"/>
  <c r="F96" i="8"/>
  <c r="E96" i="8"/>
  <c r="D96" i="8"/>
  <c r="C96" i="8"/>
  <c r="L95" i="8"/>
  <c r="K95" i="8"/>
  <c r="J95" i="8"/>
  <c r="I95" i="8"/>
  <c r="H95" i="8"/>
  <c r="G95" i="8"/>
  <c r="F95" i="8"/>
  <c r="E95" i="8"/>
  <c r="D95" i="8"/>
  <c r="C95" i="8"/>
  <c r="L94" i="8"/>
  <c r="K94" i="8"/>
  <c r="J94" i="8"/>
  <c r="I94" i="8"/>
  <c r="H94" i="8"/>
  <c r="G94" i="8"/>
  <c r="F94" i="8"/>
  <c r="E94" i="8"/>
  <c r="D94" i="8"/>
  <c r="C94" i="8"/>
  <c r="L93" i="8"/>
  <c r="K93" i="8"/>
  <c r="J93" i="8"/>
  <c r="J98" i="8" s="1"/>
  <c r="I93" i="8"/>
  <c r="I98" i="8" s="1"/>
  <c r="H93" i="8"/>
  <c r="H98" i="8" s="1"/>
  <c r="G93" i="8"/>
  <c r="G98" i="8" s="1"/>
  <c r="F93" i="8"/>
  <c r="F98" i="8" s="1"/>
  <c r="E93" i="8"/>
  <c r="E98" i="8" s="1"/>
  <c r="D93" i="8"/>
  <c r="D98" i="8" s="1"/>
  <c r="C93" i="8"/>
  <c r="C98" i="8" s="1"/>
  <c r="L89" i="8"/>
  <c r="K89" i="8"/>
  <c r="J89" i="8"/>
  <c r="I89" i="8"/>
  <c r="H89" i="8"/>
  <c r="G89" i="8"/>
  <c r="F89" i="8"/>
  <c r="E89" i="8"/>
  <c r="D89" i="8"/>
  <c r="C89" i="8"/>
  <c r="L88" i="8"/>
  <c r="K88" i="8"/>
  <c r="J88" i="8"/>
  <c r="I88" i="8"/>
  <c r="H88" i="8"/>
  <c r="G88" i="8"/>
  <c r="F88" i="8"/>
  <c r="E88" i="8"/>
  <c r="D88" i="8"/>
  <c r="C88" i="8"/>
  <c r="L87" i="8"/>
  <c r="K87" i="8"/>
  <c r="J87" i="8"/>
  <c r="I87" i="8"/>
  <c r="H87" i="8"/>
  <c r="G87" i="8"/>
  <c r="F87" i="8"/>
  <c r="E87" i="8"/>
  <c r="D87" i="8"/>
  <c r="C87" i="8"/>
  <c r="L86" i="8"/>
  <c r="K86" i="8"/>
  <c r="J86" i="8"/>
  <c r="I86" i="8"/>
  <c r="H86" i="8"/>
  <c r="G86" i="8"/>
  <c r="F86" i="8"/>
  <c r="E86" i="8"/>
  <c r="D86" i="8"/>
  <c r="C86" i="8"/>
  <c r="L85" i="8"/>
  <c r="K85" i="8"/>
  <c r="J85" i="8"/>
  <c r="I85" i="8"/>
  <c r="H85" i="8"/>
  <c r="G85" i="8"/>
  <c r="F85" i="8"/>
  <c r="E85" i="8"/>
  <c r="D85" i="8"/>
  <c r="D90" i="8" s="1"/>
  <c r="C85" i="8"/>
  <c r="L84" i="8"/>
  <c r="L90" i="8" s="1"/>
  <c r="K84" i="8"/>
  <c r="K90" i="8" s="1"/>
  <c r="J84" i="8"/>
  <c r="I84" i="8"/>
  <c r="H84" i="8"/>
  <c r="G84" i="8"/>
  <c r="F84" i="8"/>
  <c r="E84" i="8"/>
  <c r="D84" i="8"/>
  <c r="C84" i="8"/>
  <c r="C90" i="8" s="1"/>
  <c r="L83" i="8"/>
  <c r="K83" i="8"/>
  <c r="J83" i="8"/>
  <c r="I83" i="8"/>
  <c r="H83" i="8"/>
  <c r="G83" i="8"/>
  <c r="F83" i="8"/>
  <c r="E83" i="8"/>
  <c r="D83" i="8"/>
  <c r="C83" i="8"/>
  <c r="L82" i="8"/>
  <c r="K82" i="8"/>
  <c r="J82" i="8"/>
  <c r="I82" i="8"/>
  <c r="H82" i="8"/>
  <c r="G82" i="8"/>
  <c r="F82" i="8"/>
  <c r="E82" i="8"/>
  <c r="D82" i="8"/>
  <c r="C82" i="8"/>
  <c r="L81" i="8"/>
  <c r="K81" i="8"/>
  <c r="J81" i="8"/>
  <c r="J90" i="8" s="1"/>
  <c r="I81" i="8"/>
  <c r="I90" i="8" s="1"/>
  <c r="H81" i="8"/>
  <c r="H90" i="8" s="1"/>
  <c r="G81" i="8"/>
  <c r="G90" i="8" s="1"/>
  <c r="F81" i="8"/>
  <c r="F90" i="8" s="1"/>
  <c r="E81" i="8"/>
  <c r="E90" i="8" s="1"/>
  <c r="D81" i="8"/>
  <c r="C81" i="8"/>
  <c r="L77" i="8"/>
  <c r="K77" i="8"/>
  <c r="J77" i="8"/>
  <c r="I77" i="8"/>
  <c r="H77" i="8"/>
  <c r="G77" i="8"/>
  <c r="F77" i="8"/>
  <c r="E77" i="8"/>
  <c r="D77" i="8"/>
  <c r="C77" i="8"/>
  <c r="L76" i="8"/>
  <c r="K76" i="8"/>
  <c r="J76" i="8"/>
  <c r="I76" i="8"/>
  <c r="H76" i="8"/>
  <c r="G76" i="8"/>
  <c r="F76" i="8"/>
  <c r="E76" i="8"/>
  <c r="D76" i="8"/>
  <c r="C76" i="8"/>
  <c r="L75" i="8"/>
  <c r="K75" i="8"/>
  <c r="J75" i="8"/>
  <c r="I75" i="8"/>
  <c r="H75" i="8"/>
  <c r="G75" i="8"/>
  <c r="F75" i="8"/>
  <c r="E75" i="8"/>
  <c r="D75" i="8"/>
  <c r="C75" i="8"/>
  <c r="L74" i="8"/>
  <c r="K74" i="8"/>
  <c r="J74" i="8"/>
  <c r="I74" i="8"/>
  <c r="H74" i="8"/>
  <c r="G74" i="8"/>
  <c r="F74" i="8"/>
  <c r="E74" i="8"/>
  <c r="D74" i="8"/>
  <c r="C74" i="8"/>
  <c r="L73" i="8"/>
  <c r="K73" i="8"/>
  <c r="J73" i="8"/>
  <c r="I73" i="8"/>
  <c r="H73" i="8"/>
  <c r="G73" i="8"/>
  <c r="F73" i="8"/>
  <c r="E73" i="8"/>
  <c r="D73" i="8"/>
  <c r="C73" i="8"/>
  <c r="L72" i="8"/>
  <c r="K72" i="8"/>
  <c r="J72" i="8"/>
  <c r="I72" i="8"/>
  <c r="I78" i="8" s="1"/>
  <c r="H72" i="8"/>
  <c r="H78" i="8" s="1"/>
  <c r="G72" i="8"/>
  <c r="G78" i="8" s="1"/>
  <c r="F72" i="8"/>
  <c r="F78" i="8" s="1"/>
  <c r="F100" i="8" s="1"/>
  <c r="E72" i="8"/>
  <c r="E78" i="8" s="1"/>
  <c r="E100" i="8" s="1"/>
  <c r="D72" i="8"/>
  <c r="D78" i="8" s="1"/>
  <c r="D100" i="8" s="1"/>
  <c r="C72" i="8"/>
  <c r="C78" i="8" s="1"/>
  <c r="C100" i="8" s="1"/>
  <c r="L71" i="8"/>
  <c r="K71" i="8"/>
  <c r="J71" i="8"/>
  <c r="I71" i="8"/>
  <c r="H71" i="8"/>
  <c r="G71" i="8"/>
  <c r="F71" i="8"/>
  <c r="E71" i="8"/>
  <c r="D71" i="8"/>
  <c r="C71" i="8"/>
  <c r="L70" i="8"/>
  <c r="L78" i="8" s="1"/>
  <c r="L100" i="8" s="1"/>
  <c r="K70" i="8"/>
  <c r="K78" i="8" s="1"/>
  <c r="K100" i="8" s="1"/>
  <c r="J70" i="8"/>
  <c r="J78" i="8" s="1"/>
  <c r="J100" i="8" s="1"/>
  <c r="I70" i="8"/>
  <c r="H70" i="8"/>
  <c r="G70" i="8"/>
  <c r="F70" i="8"/>
  <c r="E70" i="8"/>
  <c r="D70" i="8"/>
  <c r="C70" i="8"/>
  <c r="I62" i="8"/>
  <c r="H62" i="8"/>
  <c r="G62" i="8"/>
  <c r="F62" i="8"/>
  <c r="E62" i="8"/>
  <c r="D62" i="8"/>
  <c r="L61" i="8"/>
  <c r="K61" i="8"/>
  <c r="J61" i="8"/>
  <c r="I61" i="8"/>
  <c r="H61" i="8"/>
  <c r="G61" i="8"/>
  <c r="F61" i="8"/>
  <c r="E61" i="8"/>
  <c r="D61" i="8"/>
  <c r="C61" i="8"/>
  <c r="L60" i="8"/>
  <c r="K60" i="8"/>
  <c r="J60" i="8"/>
  <c r="I60" i="8"/>
  <c r="H60" i="8"/>
  <c r="G60" i="8"/>
  <c r="F60" i="8"/>
  <c r="E60" i="8"/>
  <c r="D60" i="8"/>
  <c r="C60" i="8"/>
  <c r="L59" i="8"/>
  <c r="L62" i="8" s="1"/>
  <c r="K59" i="8"/>
  <c r="K62" i="8" s="1"/>
  <c r="J59" i="8"/>
  <c r="J62" i="8" s="1"/>
  <c r="I59" i="8"/>
  <c r="H59" i="8"/>
  <c r="G59" i="8"/>
  <c r="F59" i="8"/>
  <c r="E59" i="8"/>
  <c r="D59" i="8"/>
  <c r="C59" i="8"/>
  <c r="C62" i="8" s="1"/>
  <c r="K57" i="8"/>
  <c r="J57" i="8"/>
  <c r="I57" i="8"/>
  <c r="I64" i="8" s="1"/>
  <c r="I66" i="8" s="1"/>
  <c r="H57" i="8"/>
  <c r="H64" i="8" s="1"/>
  <c r="H66" i="8" s="1"/>
  <c r="L56" i="8"/>
  <c r="K56" i="8"/>
  <c r="J56" i="8"/>
  <c r="I56" i="8"/>
  <c r="H56" i="8"/>
  <c r="G56" i="8"/>
  <c r="F56" i="8"/>
  <c r="E56" i="8"/>
  <c r="D56" i="8"/>
  <c r="C56" i="8"/>
  <c r="L55" i="8"/>
  <c r="K55" i="8"/>
  <c r="J55" i="8"/>
  <c r="I55" i="8"/>
  <c r="H55" i="8"/>
  <c r="G55" i="8"/>
  <c r="F55" i="8"/>
  <c r="E55" i="8"/>
  <c r="D55" i="8"/>
  <c r="C55" i="8"/>
  <c r="L54" i="8"/>
  <c r="K54" i="8"/>
  <c r="J54" i="8"/>
  <c r="I54" i="8"/>
  <c r="H54" i="8"/>
  <c r="G54" i="8"/>
  <c r="G57" i="8" s="1"/>
  <c r="G64" i="8" s="1"/>
  <c r="G66" i="8" s="1"/>
  <c r="F54" i="8"/>
  <c r="E54" i="8"/>
  <c r="D54" i="8"/>
  <c r="C54" i="8"/>
  <c r="L53" i="8"/>
  <c r="L57" i="8" s="1"/>
  <c r="K53" i="8"/>
  <c r="J53" i="8"/>
  <c r="I53" i="8"/>
  <c r="H53" i="8"/>
  <c r="G53" i="8"/>
  <c r="F53" i="8"/>
  <c r="F57" i="8" s="1"/>
  <c r="F64" i="8" s="1"/>
  <c r="F66" i="8" s="1"/>
  <c r="E53" i="8"/>
  <c r="E57" i="8" s="1"/>
  <c r="E64" i="8" s="1"/>
  <c r="E66" i="8" s="1"/>
  <c r="D53" i="8"/>
  <c r="D57" i="8" s="1"/>
  <c r="D64" i="8" s="1"/>
  <c r="D66" i="8" s="1"/>
  <c r="C53" i="8"/>
  <c r="C57" i="8" s="1"/>
  <c r="L51" i="8"/>
  <c r="K51" i="8"/>
  <c r="J51" i="8"/>
  <c r="I51" i="8"/>
  <c r="H51" i="8"/>
  <c r="G51" i="8"/>
  <c r="F51" i="8"/>
  <c r="E51" i="8"/>
  <c r="D51" i="8"/>
  <c r="C51" i="8"/>
  <c r="L50" i="8"/>
  <c r="M50" i="8" s="1"/>
  <c r="K50" i="8"/>
  <c r="J50" i="8"/>
  <c r="I50" i="8"/>
  <c r="H50" i="8"/>
  <c r="G50" i="8"/>
  <c r="F50" i="8"/>
  <c r="E50" i="8"/>
  <c r="D50" i="8"/>
  <c r="C50" i="8"/>
  <c r="L49" i="8"/>
  <c r="M49" i="8" s="1"/>
  <c r="K49" i="8"/>
  <c r="J49" i="8"/>
  <c r="I49" i="8"/>
  <c r="H49" i="8"/>
  <c r="G49" i="8"/>
  <c r="F49" i="8"/>
  <c r="E49" i="8"/>
  <c r="D49" i="8"/>
  <c r="C49" i="8"/>
  <c r="L48" i="8"/>
  <c r="K48" i="8"/>
  <c r="J48" i="8"/>
  <c r="I48" i="8"/>
  <c r="H48" i="8"/>
  <c r="G48" i="8"/>
  <c r="F48" i="8"/>
  <c r="E48" i="8"/>
  <c r="D48" i="8"/>
  <c r="C48" i="8"/>
  <c r="L47" i="8"/>
  <c r="M47" i="8" s="1"/>
  <c r="K47" i="8"/>
  <c r="J47" i="8"/>
  <c r="I47" i="8"/>
  <c r="H47" i="8"/>
  <c r="G47" i="8"/>
  <c r="F47" i="8"/>
  <c r="E47" i="8"/>
  <c r="D47" i="8"/>
  <c r="C47" i="8"/>
  <c r="L41" i="8"/>
  <c r="K41" i="8"/>
  <c r="J41" i="8"/>
  <c r="I41" i="8"/>
  <c r="H41" i="8"/>
  <c r="G41" i="8"/>
  <c r="F41" i="8"/>
  <c r="E41" i="8"/>
  <c r="D41" i="8"/>
  <c r="C41" i="8"/>
  <c r="M36" i="8"/>
  <c r="L36" i="8"/>
  <c r="K36" i="8"/>
  <c r="J36" i="8"/>
  <c r="I36" i="8"/>
  <c r="H36" i="8"/>
  <c r="G36" i="8"/>
  <c r="F36" i="8"/>
  <c r="E36" i="8"/>
  <c r="D36" i="8"/>
  <c r="C36" i="8"/>
  <c r="M30" i="8"/>
  <c r="M31" i="8" s="1"/>
  <c r="L30" i="8"/>
  <c r="K30" i="8"/>
  <c r="J30" i="8"/>
  <c r="I30" i="8"/>
  <c r="H30" i="8"/>
  <c r="G30" i="8"/>
  <c r="F30" i="8"/>
  <c r="E30" i="8"/>
  <c r="D30" i="8"/>
  <c r="C30" i="8"/>
  <c r="M27" i="8"/>
  <c r="M28" i="8" s="1"/>
  <c r="M25" i="8"/>
  <c r="G25" i="8"/>
  <c r="F25" i="8"/>
  <c r="E25" i="8"/>
  <c r="D25" i="8"/>
  <c r="C25" i="8"/>
  <c r="M24" i="8"/>
  <c r="L24" i="8"/>
  <c r="L25" i="8" s="1"/>
  <c r="K24" i="8"/>
  <c r="K25" i="8" s="1"/>
  <c r="J24" i="8"/>
  <c r="I24" i="8"/>
  <c r="I25" i="8" s="1"/>
  <c r="H24" i="8"/>
  <c r="H25" i="8" s="1"/>
  <c r="G24" i="8"/>
  <c r="F24" i="8"/>
  <c r="E24" i="8"/>
  <c r="D24" i="8"/>
  <c r="C24" i="8"/>
  <c r="M22" i="8"/>
  <c r="L22" i="8"/>
  <c r="K22" i="8"/>
  <c r="E22" i="8"/>
  <c r="D22" i="8"/>
  <c r="C22" i="8"/>
  <c r="M21" i="8"/>
  <c r="L21" i="8"/>
  <c r="K21" i="8"/>
  <c r="J21" i="8"/>
  <c r="J22" i="8" s="1"/>
  <c r="I21" i="8"/>
  <c r="I22" i="8" s="1"/>
  <c r="H21" i="8"/>
  <c r="G21" i="8"/>
  <c r="G22" i="8" s="1"/>
  <c r="F21" i="8"/>
  <c r="F22" i="8" s="1"/>
  <c r="E21" i="8"/>
  <c r="D21" i="8"/>
  <c r="C21" i="8"/>
  <c r="H18" i="8"/>
  <c r="H19" i="8" s="1"/>
  <c r="H16" i="8"/>
  <c r="G16" i="8"/>
  <c r="F16" i="8"/>
  <c r="L15" i="8"/>
  <c r="K15" i="8"/>
  <c r="J15" i="8"/>
  <c r="I15" i="8"/>
  <c r="H15" i="8"/>
  <c r="G15" i="8"/>
  <c r="F15" i="8"/>
  <c r="E15" i="8"/>
  <c r="E16" i="8" s="1"/>
  <c r="D15" i="8"/>
  <c r="D16" i="8" s="1"/>
  <c r="C15" i="8"/>
  <c r="C16" i="8" s="1"/>
  <c r="H13" i="8"/>
  <c r="G13" i="8"/>
  <c r="F13" i="8"/>
  <c r="E13" i="8"/>
  <c r="D13" i="8"/>
  <c r="C13" i="8"/>
  <c r="H12" i="8"/>
  <c r="G12" i="8"/>
  <c r="G18" i="8" s="1"/>
  <c r="F12" i="8"/>
  <c r="F18" i="8" s="1"/>
  <c r="E12" i="8"/>
  <c r="E18" i="8" s="1"/>
  <c r="D12" i="8"/>
  <c r="D18" i="8" s="1"/>
  <c r="C12" i="8"/>
  <c r="C18" i="8" s="1"/>
  <c r="M10" i="8"/>
  <c r="G10" i="8"/>
  <c r="F10" i="8"/>
  <c r="E10" i="8"/>
  <c r="D10" i="8"/>
  <c r="C10" i="8"/>
  <c r="M9" i="8"/>
  <c r="L9" i="8"/>
  <c r="L10" i="8" s="1"/>
  <c r="K9" i="8"/>
  <c r="K10" i="8" s="1"/>
  <c r="J9" i="8"/>
  <c r="I9" i="8"/>
  <c r="I10" i="8" s="1"/>
  <c r="H9" i="8"/>
  <c r="H10" i="8" s="1"/>
  <c r="G9" i="8"/>
  <c r="F9" i="8"/>
  <c r="E9" i="8"/>
  <c r="D9" i="8"/>
  <c r="C9" i="8"/>
  <c r="M7" i="8"/>
  <c r="L7" i="8"/>
  <c r="K7" i="8"/>
  <c r="E7" i="8"/>
  <c r="D7" i="8"/>
  <c r="M6" i="8"/>
  <c r="M12" i="8" s="1"/>
  <c r="L6" i="8"/>
  <c r="L12" i="8" s="1"/>
  <c r="K6" i="8"/>
  <c r="K12" i="8" s="1"/>
  <c r="J6" i="8"/>
  <c r="J7" i="8" s="1"/>
  <c r="I6" i="8"/>
  <c r="I7" i="8" s="1"/>
  <c r="H6" i="8"/>
  <c r="H22" i="8" s="1"/>
  <c r="G6" i="8"/>
  <c r="G7" i="8" s="1"/>
  <c r="F6" i="8"/>
  <c r="F7" i="8" s="1"/>
  <c r="E6" i="8"/>
  <c r="D6" i="8"/>
  <c r="C6" i="8"/>
  <c r="L3" i="8"/>
  <c r="K3" i="8"/>
  <c r="J3" i="8"/>
  <c r="I3" i="8"/>
  <c r="H3" i="8"/>
  <c r="G3" i="8"/>
  <c r="F3" i="8"/>
  <c r="E3" i="8"/>
  <c r="D3" i="8"/>
  <c r="C3" i="8"/>
  <c r="B2" i="8"/>
  <c r="B6" i="10"/>
  <c r="C35" i="7" s="1"/>
  <c r="E1" i="10"/>
  <c r="E35" i="2" l="1"/>
  <c r="J31" i="2" s="1"/>
  <c r="J33" i="2" s="1"/>
  <c r="J24" i="2" s="1"/>
  <c r="I39" i="2" s="1"/>
  <c r="J40" i="2" s="1"/>
  <c r="C16" i="7" s="1"/>
  <c r="K4" i="7"/>
  <c r="K6" i="7" s="1"/>
  <c r="K8" i="7" s="1"/>
  <c r="J6" i="7"/>
  <c r="J8" i="7" s="1"/>
  <c r="D27" i="8"/>
  <c r="D19" i="8"/>
  <c r="J64" i="8"/>
  <c r="J66" i="8" s="1"/>
  <c r="K64" i="8"/>
  <c r="K66" i="8" s="1"/>
  <c r="G100" i="8"/>
  <c r="E27" i="8"/>
  <c r="E19" i="8"/>
  <c r="H100" i="8"/>
  <c r="M18" i="8"/>
  <c r="M19" i="8" s="1"/>
  <c r="M13" i="8"/>
  <c r="G19" i="8"/>
  <c r="G27" i="8"/>
  <c r="L64" i="8"/>
  <c r="I100" i="8"/>
  <c r="K13" i="8"/>
  <c r="K18" i="8"/>
  <c r="C64" i="8"/>
  <c r="C66" i="8" s="1"/>
  <c r="D31" i="8"/>
  <c r="F27" i="8"/>
  <c r="F19" i="8"/>
  <c r="L13" i="8"/>
  <c r="L18" i="8"/>
  <c r="C19" i="8"/>
  <c r="C27" i="8"/>
  <c r="I12" i="8"/>
  <c r="M33" i="8"/>
  <c r="M34" i="8" s="1"/>
  <c r="I16" i="8"/>
  <c r="K16" i="8"/>
  <c r="L16" i="8"/>
  <c r="J12" i="8"/>
  <c r="H7" i="8"/>
  <c r="J10" i="8"/>
  <c r="J25" i="8"/>
  <c r="H27" i="8"/>
  <c r="J16" i="8"/>
  <c r="H10" i="7" l="1"/>
  <c r="H12" i="7" s="1"/>
  <c r="J10" i="7"/>
  <c r="J12" i="7" s="1"/>
  <c r="K10" i="7"/>
  <c r="K12" i="7" s="1"/>
  <c r="C21" i="7"/>
  <c r="I10" i="7"/>
  <c r="I12" i="7" s="1"/>
  <c r="C28" i="8"/>
  <c r="C33" i="8"/>
  <c r="C31" i="8"/>
  <c r="F33" i="8"/>
  <c r="F28" i="8"/>
  <c r="F31" i="8"/>
  <c r="K27" i="8"/>
  <c r="K19" i="8"/>
  <c r="I13" i="8"/>
  <c r="I18" i="8"/>
  <c r="G28" i="8"/>
  <c r="G33" i="8"/>
  <c r="G31" i="8"/>
  <c r="E33" i="8"/>
  <c r="E28" i="8"/>
  <c r="E31" i="8"/>
  <c r="H28" i="8"/>
  <c r="H31" i="8"/>
  <c r="H33" i="8"/>
  <c r="L27" i="8"/>
  <c r="L19" i="8"/>
  <c r="M48" i="8"/>
  <c r="M51" i="8" s="1"/>
  <c r="J18" i="8"/>
  <c r="J13" i="8"/>
  <c r="D33" i="8"/>
  <c r="D28" i="8"/>
  <c r="C24" i="7" l="1"/>
  <c r="C29" i="7" s="1"/>
  <c r="G38" i="8"/>
  <c r="G34" i="8"/>
  <c r="L28" i="8"/>
  <c r="L33" i="8"/>
  <c r="L31" i="8"/>
  <c r="J27" i="8"/>
  <c r="J19" i="8"/>
  <c r="I19" i="8"/>
  <c r="I27" i="8"/>
  <c r="H38" i="8"/>
  <c r="H34" i="8"/>
  <c r="K31" i="8"/>
  <c r="K28" i="8"/>
  <c r="K33" i="8"/>
  <c r="F34" i="8"/>
  <c r="F38" i="8"/>
  <c r="E34" i="8"/>
  <c r="E38" i="8"/>
  <c r="C34" i="8"/>
  <c r="C38" i="8"/>
  <c r="D34" i="8"/>
  <c r="D38" i="8"/>
  <c r="F26" i="7" l="1"/>
  <c r="C30" i="7"/>
  <c r="C34" i="7" s="1"/>
  <c r="C37" i="7" s="1"/>
  <c r="C40" i="7" s="1"/>
  <c r="J31" i="8"/>
  <c r="J33" i="8"/>
  <c r="J28" i="8"/>
  <c r="C39" i="8"/>
  <c r="D42" i="8"/>
  <c r="D44" i="8" s="1"/>
  <c r="E39" i="8"/>
  <c r="F42" i="8"/>
  <c r="F44" i="8"/>
  <c r="L34" i="8"/>
  <c r="L38" i="8"/>
  <c r="E44" i="8"/>
  <c r="D39" i="8"/>
  <c r="E42" i="8"/>
  <c r="H42" i="8"/>
  <c r="H44" i="8"/>
  <c r="G39" i="8"/>
  <c r="C42" i="8"/>
  <c r="C44" i="8" s="1"/>
  <c r="K34" i="8"/>
  <c r="K38" i="8"/>
  <c r="I33" i="8"/>
  <c r="I28" i="8"/>
  <c r="I31" i="8"/>
  <c r="G42" i="8"/>
  <c r="F39" i="8"/>
  <c r="G44" i="8"/>
  <c r="L39" i="8" l="1"/>
  <c r="K39" i="8"/>
  <c r="L42" i="8"/>
  <c r="L44" i="8" s="1"/>
  <c r="K44" i="8"/>
  <c r="K42" i="8"/>
  <c r="J38" i="8"/>
  <c r="J34" i="8"/>
  <c r="I34" i="8"/>
  <c r="I38" i="8"/>
  <c r="F17" i="7" l="1"/>
  <c r="H39" i="8"/>
  <c r="I42" i="8"/>
  <c r="I44" i="8"/>
  <c r="I39" i="8"/>
  <c r="J42" i="8"/>
  <c r="J44" i="8" s="1"/>
  <c r="J39" i="8"/>
  <c r="I96" i="16" l="1"/>
  <c r="I98" i="16" s="1"/>
  <c r="I86" i="16"/>
  <c r="I78" i="16"/>
  <c r="I80" i="16" s="1"/>
</calcChain>
</file>

<file path=xl/sharedStrings.xml><?xml version="1.0" encoding="utf-8"?>
<sst xmlns="http://schemas.openxmlformats.org/spreadsheetml/2006/main" count="463" uniqueCount="332">
  <si>
    <t>COMPANY NAME</t>
  </si>
  <si>
    <t>INFOSYS LTD</t>
  </si>
  <si>
    <t>LATEST VERSION</t>
  </si>
  <si>
    <t>PLEASE DO NOT MAKE ANY CHANGES TO THIS SHEET</t>
  </si>
  <si>
    <t>CURRENT VERSION</t>
  </si>
  <si>
    <t>META</t>
  </si>
  <si>
    <t>Number of shares</t>
  </si>
  <si>
    <t>Face Value</t>
  </si>
  <si>
    <t>Current Price</t>
  </si>
  <si>
    <t>Market Capitalization</t>
  </si>
  <si>
    <t>PROFIT &amp; LOSS</t>
  </si>
  <si>
    <t>Report Date</t>
  </si>
  <si>
    <t>Sales</t>
  </si>
  <si>
    <t>Raw Material Cost</t>
  </si>
  <si>
    <t>Change in Inventory</t>
  </si>
  <si>
    <t>Power and Fuel</t>
  </si>
  <si>
    <t>Other Mfr. Exp</t>
  </si>
  <si>
    <t>Employee Cost</t>
  </si>
  <si>
    <t>Selling and admin</t>
  </si>
  <si>
    <t>Other Expenses</t>
  </si>
  <si>
    <t>Other Income</t>
  </si>
  <si>
    <t>Depreciation</t>
  </si>
  <si>
    <t>Interest</t>
  </si>
  <si>
    <t>Profit before tax</t>
  </si>
  <si>
    <t>Tax</t>
  </si>
  <si>
    <t>Net profit</t>
  </si>
  <si>
    <t>Dividend Amount</t>
  </si>
  <si>
    <t>Quarters</t>
  </si>
  <si>
    <t>Expenses</t>
  </si>
  <si>
    <t>Operating Profit</t>
  </si>
  <si>
    <t>BALANCE SHEET</t>
  </si>
  <si>
    <t>Equity Share Capital</t>
  </si>
  <si>
    <t>Reserves</t>
  </si>
  <si>
    <t>Borrowings</t>
  </si>
  <si>
    <t>Other Liabilities</t>
  </si>
  <si>
    <t>Total</t>
  </si>
  <si>
    <t>Net Block</t>
  </si>
  <si>
    <t>Capital Work in Progress</t>
  </si>
  <si>
    <t>Investments</t>
  </si>
  <si>
    <t>Other Assets</t>
  </si>
  <si>
    <t>Receivables</t>
  </si>
  <si>
    <t>Inventory</t>
  </si>
  <si>
    <t>Cash &amp; Bank</t>
  </si>
  <si>
    <t>No. of Equity Shares</t>
  </si>
  <si>
    <t>New Bonus Shares</t>
  </si>
  <si>
    <t>Face value</t>
  </si>
  <si>
    <t>CASH FLOW:</t>
  </si>
  <si>
    <t>Cash from Operating Activity</t>
  </si>
  <si>
    <t>Cash from Investing Activity</t>
  </si>
  <si>
    <t>Cash from Financing Activity</t>
  </si>
  <si>
    <t>Net Cash Flow</t>
  </si>
  <si>
    <t>PRICE:</t>
  </si>
  <si>
    <t>DERIVED:</t>
  </si>
  <si>
    <t>Adjusted Equity Shares in Cr</t>
  </si>
  <si>
    <t>Years</t>
  </si>
  <si>
    <t>LTM</t>
  </si>
  <si>
    <t>#</t>
  </si>
  <si>
    <t>Income Statement</t>
  </si>
  <si>
    <t>Sales Growth</t>
  </si>
  <si>
    <t>COGS</t>
  </si>
  <si>
    <t>COGS % sales</t>
  </si>
  <si>
    <t>Gross Profit</t>
  </si>
  <si>
    <t>Gross Margin</t>
  </si>
  <si>
    <t>Selling &amp; Admin Exp.</t>
  </si>
  <si>
    <t>S &amp; A % Sales</t>
  </si>
  <si>
    <t>EBITDA</t>
  </si>
  <si>
    <t>EBITDA % Sales</t>
  </si>
  <si>
    <t>Interest % Sales</t>
  </si>
  <si>
    <t>Depreciation % Sales</t>
  </si>
  <si>
    <t>Earning Before Tax</t>
  </si>
  <si>
    <t>EBT % Sales</t>
  </si>
  <si>
    <t>Effective Tax Rate</t>
  </si>
  <si>
    <t>Net Profit</t>
  </si>
  <si>
    <t>Net Margin</t>
  </si>
  <si>
    <t>No. of Shares</t>
  </si>
  <si>
    <t>Earning Per Shares</t>
  </si>
  <si>
    <t>EPS Growth %</t>
  </si>
  <si>
    <t>Dividend Per Share</t>
  </si>
  <si>
    <t>Dividend Payout Ratio</t>
  </si>
  <si>
    <t>Retained Earning</t>
  </si>
  <si>
    <t>Balance Sheet</t>
  </si>
  <si>
    <t>Total Liability</t>
  </si>
  <si>
    <t>Fixed Assets Net Block</t>
  </si>
  <si>
    <t>Total Non Assets</t>
  </si>
  <si>
    <t>Total Current Assets</t>
  </si>
  <si>
    <t>Total Assets</t>
  </si>
  <si>
    <t>Check Balance</t>
  </si>
  <si>
    <t xml:space="preserve"> </t>
  </si>
  <si>
    <t>Cashflow Statement</t>
  </si>
  <si>
    <t>Opreating Activities</t>
  </si>
  <si>
    <t>Profit from operations</t>
  </si>
  <si>
    <t>Payables</t>
  </si>
  <si>
    <t>Loans Advances</t>
  </si>
  <si>
    <t>Other WC items</t>
  </si>
  <si>
    <t>Working capital changes</t>
  </si>
  <si>
    <t>Direct taxes</t>
  </si>
  <si>
    <t>Cash From Opreating Activities</t>
  </si>
  <si>
    <t>Investing  Activities</t>
  </si>
  <si>
    <t>Fixed assets purchased</t>
  </si>
  <si>
    <t>Fixed assets sold</t>
  </si>
  <si>
    <t>Investments purchased</t>
  </si>
  <si>
    <t>Investments sold</t>
  </si>
  <si>
    <t>Interest received</t>
  </si>
  <si>
    <t>Dividend received</t>
  </si>
  <si>
    <t>Acquisition of companies</t>
  </si>
  <si>
    <t>Inter corporate deposits</t>
  </si>
  <si>
    <t>Other investing items</t>
  </si>
  <si>
    <t>Cash From Investing Activities</t>
  </si>
  <si>
    <t>Financial Activities</t>
  </si>
  <si>
    <t>Proceeds from shares</t>
  </si>
  <si>
    <t>Repayment of borrowings</t>
  </si>
  <si>
    <t>Dividends paid</t>
  </si>
  <si>
    <t>Financial liabilities</t>
  </si>
  <si>
    <t>Other financing items</t>
  </si>
  <si>
    <t>Cash From Financial Activities</t>
  </si>
  <si>
    <t xml:space="preserve">Net Cashflow </t>
  </si>
  <si>
    <t>S.No.</t>
  </si>
  <si>
    <t>Name</t>
  </si>
  <si>
    <t>CMP Rs.</t>
  </si>
  <si>
    <t>Mar Cap Rs.Cr.</t>
  </si>
  <si>
    <t>Debt Rs.Cr.</t>
  </si>
  <si>
    <t>Debt / Eq</t>
  </si>
  <si>
    <t>TCS</t>
  </si>
  <si>
    <t>Infosys</t>
  </si>
  <si>
    <t>HCL Technologies</t>
  </si>
  <si>
    <t>Wipro</t>
  </si>
  <si>
    <t>Tech Mahindra</t>
  </si>
  <si>
    <t>Weighted Average Cost of Capital</t>
  </si>
  <si>
    <t>All figures are in INR unless stated otherwise.</t>
  </si>
  <si>
    <t>Peer Comps</t>
  </si>
  <si>
    <t>Debt/</t>
  </si>
  <si>
    <t>Levered</t>
  </si>
  <si>
    <t>Unlevered</t>
  </si>
  <si>
    <t>Country</t>
  </si>
  <si>
    <t>Total Debt</t>
  </si>
  <si>
    <t>Total Equity</t>
  </si>
  <si>
    <t>Equity</t>
  </si>
  <si>
    <t>Capital</t>
  </si>
  <si>
    <t>Beta 2</t>
  </si>
  <si>
    <t>India</t>
  </si>
  <si>
    <t>Average</t>
  </si>
  <si>
    <t>Median</t>
  </si>
  <si>
    <t>Cost of Debt</t>
  </si>
  <si>
    <t>Cost of Equity</t>
  </si>
  <si>
    <t>Pre-tax Cost of Debt</t>
  </si>
  <si>
    <t>Risk Free Rate</t>
  </si>
  <si>
    <t>Tax Rate</t>
  </si>
  <si>
    <t>Equity Risk Premium</t>
  </si>
  <si>
    <t>After Tax Cost of Debt</t>
  </si>
  <si>
    <t>Capital Structure</t>
  </si>
  <si>
    <t xml:space="preserve">Levered Beta </t>
  </si>
  <si>
    <t>Current</t>
  </si>
  <si>
    <t>Target</t>
  </si>
  <si>
    <t>Comps Median Unlevered Beta</t>
  </si>
  <si>
    <t xml:space="preserve">Target Debt/ Equity  </t>
  </si>
  <si>
    <t>Total Capitalization</t>
  </si>
  <si>
    <t>Levered Beta</t>
  </si>
  <si>
    <t>Debt / Equity</t>
  </si>
  <si>
    <t>1. Tax Rate considered as Marginal Tax Rate for the country</t>
  </si>
  <si>
    <t>2. Levered Beta is based on 5 year monthly data</t>
  </si>
  <si>
    <t>3. Unlevered Beta = Levered Beta/(1+(1-Tax Rate) x Debt/Equity)</t>
  </si>
  <si>
    <t>WACC</t>
  </si>
  <si>
    <r>
      <t xml:space="preserve">Tax Rate </t>
    </r>
    <r>
      <rPr>
        <vertAlign val="superscript"/>
        <sz val="11"/>
        <color theme="1"/>
        <rFont val="Calibri"/>
        <family val="2"/>
      </rPr>
      <t>1</t>
    </r>
  </si>
  <si>
    <r>
      <t xml:space="preserve">Beta </t>
    </r>
    <r>
      <rPr>
        <vertAlign val="superscript"/>
        <sz val="11"/>
        <color theme="1"/>
        <rFont val="Calibri"/>
        <family val="2"/>
      </rPr>
      <t>2</t>
    </r>
  </si>
  <si>
    <r>
      <t xml:space="preserve">Beta </t>
    </r>
    <r>
      <rPr>
        <vertAlign val="superscript"/>
        <sz val="11"/>
        <color theme="1"/>
        <rFont val="Calibri"/>
        <family val="2"/>
      </rPr>
      <t>3</t>
    </r>
  </si>
  <si>
    <r>
      <t xml:space="preserve">Levered Beta </t>
    </r>
    <r>
      <rPr>
        <vertAlign val="superscript"/>
        <sz val="11"/>
        <color theme="1"/>
        <rFont val="Calibri"/>
        <family val="2"/>
      </rPr>
      <t>4</t>
    </r>
  </si>
  <si>
    <t>NIFTY Returns</t>
  </si>
  <si>
    <t>Date</t>
  </si>
  <si>
    <t>Closing Price</t>
  </si>
  <si>
    <t>Return</t>
  </si>
  <si>
    <t>Beta Drifting</t>
  </si>
  <si>
    <t>Levered Raw Beta</t>
  </si>
  <si>
    <t>Raw Beta Weight</t>
  </si>
  <si>
    <t xml:space="preserve">Market Beta </t>
  </si>
  <si>
    <t>Market Beta Weight</t>
  </si>
  <si>
    <t>Adjusted Beta</t>
  </si>
  <si>
    <t>Beta 1</t>
  </si>
  <si>
    <t>SUMMARY OUTPUT</t>
  </si>
  <si>
    <t>Infosys Weekly Returns</t>
  </si>
  <si>
    <t>Regression Statistics</t>
  </si>
  <si>
    <t>Multiple R</t>
  </si>
  <si>
    <t>R Square</t>
  </si>
  <si>
    <t>Adjusted R Square</t>
  </si>
  <si>
    <t>Standard Error</t>
  </si>
  <si>
    <t>Observations</t>
  </si>
  <si>
    <t>ANOVA</t>
  </si>
  <si>
    <t>Regression</t>
  </si>
  <si>
    <t>Residual</t>
  </si>
  <si>
    <t>Intercept</t>
  </si>
  <si>
    <t>df</t>
  </si>
  <si>
    <t>SS</t>
  </si>
  <si>
    <t>MS</t>
  </si>
  <si>
    <t>F</t>
  </si>
  <si>
    <t>Significance F</t>
  </si>
  <si>
    <t>Coefficients</t>
  </si>
  <si>
    <t>t Stat</t>
  </si>
  <si>
    <t>P-value</t>
  </si>
  <si>
    <t>Lower 95%</t>
  </si>
  <si>
    <t>Upper 95%</t>
  </si>
  <si>
    <t>Lower 95.0%</t>
  </si>
  <si>
    <t>Upper 95.0%</t>
  </si>
  <si>
    <t>X Variable 1</t>
  </si>
  <si>
    <t>3. Levered Beta = Unlevered Beta*(1+(1-Tax Rate) x Debt/Equity)</t>
  </si>
  <si>
    <t>Year</t>
  </si>
  <si>
    <t>Annual</t>
  </si>
  <si>
    <t>Average Return</t>
  </si>
  <si>
    <t>Total Market Returns</t>
  </si>
  <si>
    <t>Return on Markets</t>
  </si>
  <si>
    <r>
      <t xml:space="preserve">Dividend Yield </t>
    </r>
    <r>
      <rPr>
        <vertAlign val="superscript"/>
        <sz val="11"/>
        <color theme="1"/>
        <rFont val="Calibri"/>
        <family val="2"/>
      </rPr>
      <t>1</t>
    </r>
  </si>
  <si>
    <t>Total Cost</t>
  </si>
  <si>
    <t>Total Weighted</t>
  </si>
  <si>
    <t>Debt</t>
  </si>
  <si>
    <t>Calculation of ROIC</t>
  </si>
  <si>
    <t>Current Assets</t>
  </si>
  <si>
    <t>Inventories</t>
  </si>
  <si>
    <t>Trade receivables</t>
  </si>
  <si>
    <t>Loans n Advances</t>
  </si>
  <si>
    <t>Other asset items</t>
  </si>
  <si>
    <t>Current Liabilities</t>
  </si>
  <si>
    <t>Trade Payables</t>
  </si>
  <si>
    <t>Advance from Customers</t>
  </si>
  <si>
    <t>Other liability items</t>
  </si>
  <si>
    <t>Total Current Liabilities</t>
  </si>
  <si>
    <t>Net Working Capital</t>
  </si>
  <si>
    <t>Non Current Assets</t>
  </si>
  <si>
    <t>Land</t>
  </si>
  <si>
    <t>Building</t>
  </si>
  <si>
    <t>Plant Machinery</t>
  </si>
  <si>
    <t>Equipments</t>
  </si>
  <si>
    <t>Furniture n fittings</t>
  </si>
  <si>
    <t>Vehicles</t>
  </si>
  <si>
    <t>Intangible Assets</t>
  </si>
  <si>
    <t>Other fixed assets</t>
  </si>
  <si>
    <t>Gross Block</t>
  </si>
  <si>
    <t>Accumulated Depreciation</t>
  </si>
  <si>
    <t>Net Non Current Assets</t>
  </si>
  <si>
    <t>Invested Capital</t>
  </si>
  <si>
    <t>EBIT</t>
  </si>
  <si>
    <t>ROIC</t>
  </si>
  <si>
    <t>Calculation of Reinvestment Rate</t>
  </si>
  <si>
    <t>Net Capex</t>
  </si>
  <si>
    <t>Change in Working Capital</t>
  </si>
  <si>
    <t>Marginal Tax Rate</t>
  </si>
  <si>
    <t>EBIT(1-T)</t>
  </si>
  <si>
    <t>Reinvestment</t>
  </si>
  <si>
    <t>Reinvestment Rate</t>
  </si>
  <si>
    <t>Calculation of Growth Rate</t>
  </si>
  <si>
    <t>Intrinsic Growth</t>
  </si>
  <si>
    <t>Calculation of PV of FCFF</t>
  </si>
  <si>
    <t>Less: Reinvestment Rate</t>
  </si>
  <si>
    <t>Free Cash Flow to Firm (FCFF)</t>
  </si>
  <si>
    <t>Mid Year Convention</t>
  </si>
  <si>
    <t>Discounting Factor</t>
  </si>
  <si>
    <t>PV of FCFF</t>
  </si>
  <si>
    <t>Expected Growth</t>
  </si>
  <si>
    <t>Calculation of Terminal Value</t>
  </si>
  <si>
    <t>FCFF (n+1)</t>
  </si>
  <si>
    <t>Terminal Growth Rate</t>
  </si>
  <si>
    <t>Terminal Value</t>
  </si>
  <si>
    <t>Calculation of Equity Value Per Share</t>
  </si>
  <si>
    <t xml:space="preserve">PV of FCFF </t>
  </si>
  <si>
    <t>PV of Terminal Value</t>
  </si>
  <si>
    <t>Value of Opreating Assets</t>
  </si>
  <si>
    <t>Add: Cash</t>
  </si>
  <si>
    <t>Less: Debt</t>
  </si>
  <si>
    <t>Value of Equity</t>
  </si>
  <si>
    <t>No of Shares</t>
  </si>
  <si>
    <t>Equity Value Per Share</t>
  </si>
  <si>
    <t>Share Price</t>
  </si>
  <si>
    <t>Discount/Premium</t>
  </si>
  <si>
    <t>Equity Capital</t>
  </si>
  <si>
    <t>Lease Liabilities</t>
  </si>
  <si>
    <r>
      <t>Other Liabilities </t>
    </r>
    <r>
      <rPr>
        <sz val="11"/>
        <color rgb="FF665EFD"/>
        <rFont val="Arial"/>
        <family val="2"/>
      </rPr>
      <t>-</t>
    </r>
  </si>
  <si>
    <t>Non controlling int</t>
  </si>
  <si>
    <t>Total Liabilities</t>
  </si>
  <si>
    <r>
      <t>Fixed Assets </t>
    </r>
    <r>
      <rPr>
        <sz val="11"/>
        <color rgb="FF665EFD"/>
        <rFont val="Arial"/>
        <family val="2"/>
      </rPr>
      <t>-</t>
    </r>
  </si>
  <si>
    <t>Computers</t>
  </si>
  <si>
    <t>CWIP</t>
  </si>
  <si>
    <r>
      <t>Other Assets </t>
    </r>
    <r>
      <rPr>
        <sz val="11"/>
        <color rgb="FF665EFD"/>
        <rFont val="Arial"/>
        <family val="2"/>
      </rPr>
      <t>-</t>
    </r>
  </si>
  <si>
    <t>Cash Equivalents</t>
  </si>
  <si>
    <r>
      <t>Borrowings </t>
    </r>
    <r>
      <rPr>
        <b/>
        <sz val="11"/>
        <color rgb="FF665EFD"/>
        <rFont val="Arial"/>
        <family val="2"/>
      </rPr>
      <t>-</t>
    </r>
  </si>
  <si>
    <t>Dividends received</t>
  </si>
  <si>
    <t>Particulars</t>
  </si>
  <si>
    <t>Computer</t>
  </si>
  <si>
    <r>
      <t>Cash from Operating Activity </t>
    </r>
    <r>
      <rPr>
        <sz val="11"/>
        <color rgb="FF665EFD"/>
        <rFont val="Calibri"/>
        <family val="2"/>
      </rPr>
      <t>-</t>
    </r>
  </si>
  <si>
    <r>
      <t>Cash from Investing Activity </t>
    </r>
    <r>
      <rPr>
        <sz val="11"/>
        <color rgb="FF665EFD"/>
        <rFont val="Calibri"/>
        <family val="2"/>
      </rPr>
      <t>-</t>
    </r>
  </si>
  <si>
    <r>
      <t>Cash from Financing Activity </t>
    </r>
    <r>
      <rPr>
        <sz val="11"/>
        <color rgb="FF665EFD"/>
        <rFont val="Calibri"/>
        <family val="2"/>
      </rPr>
      <t>-</t>
    </r>
  </si>
  <si>
    <t>4 Year Average</t>
  </si>
  <si>
    <t>4 Year Median</t>
  </si>
  <si>
    <t>Sensitivity Analysis</t>
  </si>
  <si>
    <t xml:space="preserve">Sensitivity Analysis </t>
  </si>
  <si>
    <t>Growth Rate</t>
  </si>
  <si>
    <t>Terminal Growth</t>
  </si>
  <si>
    <t xml:space="preserve">52 week (High -	
1,728.00 INR &amp; Low - 1,258.00) </t>
  </si>
  <si>
    <t>About the Company</t>
  </si>
  <si>
    <t>Return on Equity (ROE)</t>
  </si>
  <si>
    <t>Average shareholder Equity</t>
  </si>
  <si>
    <t>Return on Equity (ROE) - Dupont Equiation</t>
  </si>
  <si>
    <t>Net Profit Margin (A)</t>
  </si>
  <si>
    <t>Revenue</t>
  </si>
  <si>
    <t>Average Total Assets</t>
  </si>
  <si>
    <t>Asset Turnover Ratio (B)</t>
  </si>
  <si>
    <t xml:space="preserve">Equity Multiplier (c) </t>
  </si>
  <si>
    <t>Return on Equity (A*B*C)</t>
  </si>
  <si>
    <t>Return on  Assets</t>
  </si>
  <si>
    <t>Return on Assets (ROA) - Dupont Equiation</t>
  </si>
  <si>
    <t>Return of Assets (A)*(B)</t>
  </si>
  <si>
    <t>Financial Summary</t>
  </si>
  <si>
    <t>Dupont Analysis - Return on Equity &amp; Return on Assets</t>
  </si>
  <si>
    <t xml:space="preserve"> (INFY | BSE Code  500209)</t>
  </si>
  <si>
    <t>Altman's Z Score Analysis</t>
  </si>
  <si>
    <t>Working Capital / Total Assets</t>
  </si>
  <si>
    <t>Retained Earnings</t>
  </si>
  <si>
    <t>EBIT / Total Assets</t>
  </si>
  <si>
    <t>Market Cap</t>
  </si>
  <si>
    <t>Sales / Total Assets</t>
  </si>
  <si>
    <t>Altman's Z Score</t>
  </si>
  <si>
    <t>Final Score</t>
  </si>
  <si>
    <t>Financial Stability</t>
  </si>
  <si>
    <t>Working Capital</t>
  </si>
  <si>
    <t>Working Capital / Total Assets (A)</t>
  </si>
  <si>
    <t>Retained Earnings / Total Assets</t>
  </si>
  <si>
    <t>Retained Earnings / Total Assets (B)</t>
  </si>
  <si>
    <t>EBIT/Total Assets (C)</t>
  </si>
  <si>
    <t>Market Cap / Long term Liabilities</t>
  </si>
  <si>
    <t>Long term Liabilities</t>
  </si>
  <si>
    <t>Market Cap / Long term Liabilities (D)</t>
  </si>
  <si>
    <t>Total Sales</t>
  </si>
  <si>
    <t>Return on Asset (E)</t>
  </si>
  <si>
    <t>INFOSYS LTD.</t>
  </si>
  <si>
    <t>Altman's Z Score Analysis Calculation</t>
  </si>
  <si>
    <t>Infosys Limited is a leading global provider of information technology services and consulting, headquartered in Bengaluru. Founded in 1981 by N. R. Narayana Murthy, the company offers services such as software development, digital transformation, cloud computing, and artificial intelligence solutions.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</si>
</sst>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43" formatCode="_(* #,##0.00_);_(* \(#,##0.00\);_(* &quot;-&quot;??_);_(@_)"/>
    <numFmt numFmtId="164" formatCode="_ * #,##0.00_ ;_ * \-#,##0.00_ ;_ * &quot;-&quot;??_ ;_ @_ "/>
    <numFmt numFmtId="165" formatCode="[$-409]mmm\-yy;@"/>
    <numFmt numFmtId="166" formatCode="[$-409]mmm\-yy;@\ &quot;A&quot;"/>
    <numFmt numFmtId="167" formatCode="[$-409]mmm\-yy;@\ "/>
    <numFmt numFmtId="168" formatCode="\₹#,##0.0\ ;\(\₹#,##0.0\);\-"/>
    <numFmt numFmtId="169" formatCode="#,##0.0"/>
    <numFmt numFmtId="170" formatCode="dd\-mm\-yyyy"/>
    <numFmt numFmtId="171" formatCode="0.000"/>
    <numFmt numFmtId="172" formatCode="0.000%"/>
    <numFmt numFmtId="173" formatCode="#,##0.0;\(#,##0.0\);\-"/>
    <numFmt numFmtId="174" formatCode="mmm\-yy\ &quot;A&quot;"/>
    <numFmt numFmtId="175" formatCode="mmm\-yy\ &quot;F&quot;"/>
    <numFmt numFmtId="176" formatCode="#,##0.0_);\(#,##0.0\)"/>
    <numFmt numFmtId="177" formatCode="0.00\x"/>
    <numFmt numFmtId="178" formatCode="0.0\x"/>
    <numFmt numFmtId="179" formatCode="0.0"/>
    <numFmt numFmtId="180" formatCode="0.0000000000000000%"/>
  </numFmts>
  <fonts count="41" x14ac:knownFonts="1">
    <font>
      <sz val="11"/>
      <color theme="1"/>
      <name val="Calibri"/>
      <family val="2"/>
    </font>
    <font>
      <sz val="11"/>
      <color theme="1"/>
      <name val="Calibri"/>
      <family val="2"/>
    </font>
    <font>
      <b/>
      <sz val="11"/>
      <color theme="1"/>
      <name val="Calibri"/>
      <family val="2"/>
    </font>
    <font>
      <sz val="11"/>
      <color theme="0"/>
      <name val="Calibri"/>
      <family val="2"/>
    </font>
    <font>
      <u/>
      <sz val="11"/>
      <color theme="10"/>
      <name val="Calibri"/>
      <family val="2"/>
    </font>
    <font>
      <sz val="11"/>
      <color theme="1"/>
      <name val="Calibri"/>
      <family val="2"/>
      <scheme val="minor"/>
    </font>
    <font>
      <b/>
      <sz val="11"/>
      <color theme="1"/>
      <name val="Calibri"/>
      <family val="2"/>
      <scheme val="minor"/>
    </font>
    <font>
      <sz val="11"/>
      <color theme="0"/>
      <name val="Calibri"/>
      <family val="2"/>
      <scheme val="minor"/>
    </font>
    <font>
      <b/>
      <sz val="11"/>
      <color theme="0"/>
      <name val="Calibri"/>
      <family val="2"/>
      <scheme val="minor"/>
    </font>
    <font>
      <sz val="11"/>
      <name val="Calibri"/>
      <family val="2"/>
      <scheme val="minor"/>
    </font>
    <font>
      <i/>
      <sz val="11"/>
      <color theme="0" tint="-0.34998626667073579"/>
      <name val="Calibri"/>
      <family val="2"/>
      <scheme val="minor"/>
    </font>
    <font>
      <sz val="11"/>
      <color theme="0" tint="-0.34998626667073579"/>
      <name val="Calibri"/>
      <family val="2"/>
      <scheme val="minor"/>
    </font>
    <font>
      <sz val="11"/>
      <color theme="0" tint="-0.249977111117893"/>
      <name val="Calibri"/>
      <family val="2"/>
      <scheme val="minor"/>
    </font>
    <font>
      <sz val="10"/>
      <color theme="1"/>
      <name val="Arial"/>
      <family val="2"/>
    </font>
    <font>
      <b/>
      <sz val="10"/>
      <color theme="1"/>
      <name val="Arial"/>
      <family val="2"/>
    </font>
    <font>
      <b/>
      <sz val="11"/>
      <color theme="0"/>
      <name val="Calibri"/>
      <family val="2"/>
    </font>
    <font>
      <b/>
      <sz val="14"/>
      <color theme="1"/>
      <name val="calibri"/>
      <family val="2"/>
    </font>
    <font>
      <sz val="14"/>
      <color theme="1"/>
      <name val="calibri"/>
      <family val="2"/>
    </font>
    <font>
      <i/>
      <sz val="10"/>
      <color theme="1"/>
      <name val="calibri"/>
      <family val="2"/>
    </font>
    <font>
      <sz val="11"/>
      <color rgb="FF3333FF"/>
      <name val="calibri"/>
      <family val="2"/>
    </font>
    <font>
      <i/>
      <sz val="9"/>
      <color theme="1"/>
      <name val="calibri"/>
      <family val="2"/>
    </font>
    <font>
      <vertAlign val="superscript"/>
      <sz val="11"/>
      <color theme="1"/>
      <name val="Calibri"/>
      <family val="2"/>
    </font>
    <font>
      <i/>
      <sz val="11"/>
      <color theme="1"/>
      <name val="Calibri"/>
      <family val="2"/>
    </font>
    <font>
      <sz val="11"/>
      <name val="calibri"/>
      <family val="2"/>
    </font>
    <font>
      <sz val="11"/>
      <color rgb="FF606F7B"/>
      <name val="Arial"/>
      <family val="2"/>
    </font>
    <font>
      <sz val="11"/>
      <color rgb="FF22222F"/>
      <name val="Arial"/>
      <family val="2"/>
    </font>
    <font>
      <sz val="11"/>
      <color rgb="FF22222F"/>
      <name val="Arial"/>
      <family val="2"/>
    </font>
    <font>
      <sz val="11"/>
      <color rgb="FF665EFD"/>
      <name val="Arial"/>
      <family val="2"/>
    </font>
    <font>
      <b/>
      <sz val="11"/>
      <color rgb="FF22222F"/>
      <name val="Arial"/>
      <family val="2"/>
    </font>
    <font>
      <b/>
      <sz val="11"/>
      <color rgb="FF665EFD"/>
      <name val="Arial"/>
      <family val="2"/>
    </font>
    <font>
      <sz val="11"/>
      <color rgb="FF606F7B"/>
      <name val="Calibri"/>
      <family val="2"/>
    </font>
    <font>
      <sz val="11"/>
      <color theme="1"/>
      <name val="Calibri"/>
      <family val="2"/>
    </font>
    <font>
      <sz val="11"/>
      <color rgb="FF665EFD"/>
      <name val="Calibri"/>
      <family val="2"/>
    </font>
    <font>
      <sz val="18"/>
      <color theme="1"/>
      <name val="Calibri"/>
      <family val="2"/>
    </font>
    <font>
      <b/>
      <sz val="12"/>
      <color theme="0"/>
      <name val="Calibri"/>
      <family val="2"/>
    </font>
    <font>
      <b/>
      <sz val="16"/>
      <color rgb="FF3333FF"/>
      <name val="Calibri"/>
      <family val="2"/>
    </font>
    <font>
      <b/>
      <sz val="18"/>
      <color rgb="FF0070C0"/>
      <name val="calibri"/>
      <family val="2"/>
    </font>
    <font>
      <b/>
      <sz val="14"/>
      <color rgb="FF0070C0"/>
      <name val="calibri"/>
      <family val="2"/>
    </font>
    <font>
      <b/>
      <sz val="22"/>
      <color rgb="FF0070C0"/>
      <name val="Calibri"/>
      <family val="2"/>
    </font>
    <font>
      <b/>
      <i/>
      <sz val="11"/>
      <color rgb="FF0070C0"/>
      <name val="calibri"/>
      <family val="2"/>
    </font>
    <font>
      <b/>
      <sz val="16"/>
      <color rgb="FF0070C0"/>
      <name val="Calibri"/>
      <family val="2"/>
    </font>
  </fonts>
  <fills count="13">
    <fill>
      <patternFill patternType="none"/>
    </fill>
    <fill>
      <patternFill patternType="gray125"/>
    </fill>
    <fill>
      <patternFill patternType="solid">
        <fgColor theme="9"/>
      </patternFill>
    </fill>
    <fill>
      <patternFill patternType="solid">
        <fgColor rgb="FF0275D8"/>
        <bgColor indexed="64"/>
      </patternFill>
    </fill>
    <fill>
      <patternFill patternType="solid">
        <fgColor theme="0"/>
        <bgColor indexed="64"/>
      </patternFill>
    </fill>
    <fill>
      <patternFill patternType="solid">
        <fgColor rgb="FF002060"/>
        <bgColor indexed="64"/>
      </patternFill>
    </fill>
    <fill>
      <patternFill patternType="solid">
        <fgColor theme="8" tint="0.59999389629810485"/>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rgb="FFFFFFFF"/>
        <bgColor indexed="64"/>
      </patternFill>
    </fill>
    <fill>
      <patternFill patternType="solid">
        <fgColor rgb="FFF8F8FC"/>
        <bgColor indexed="64"/>
      </patternFill>
    </fill>
    <fill>
      <patternFill patternType="solid">
        <fgColor theme="9" tint="0.79998168889431442"/>
        <bgColor indexed="64"/>
      </patternFill>
    </fill>
    <fill>
      <patternFill patternType="solid">
        <fgColor rgb="FF00B0F0"/>
        <bgColor indexed="64"/>
      </patternFill>
    </fill>
  </fills>
  <borders count="21">
    <border>
      <left/>
      <right/>
      <top/>
      <bottom/>
      <diagonal/>
    </border>
    <border>
      <left/>
      <right/>
      <top style="hair">
        <color theme="8" tint="-0.24994659260841701"/>
      </top>
      <bottom style="hair">
        <color theme="8" tint="-0.24994659260841701"/>
      </bottom>
      <diagonal/>
    </border>
    <border>
      <left/>
      <right/>
      <top style="thin">
        <color rgb="FF002060"/>
      </top>
      <bottom/>
      <diagonal/>
    </border>
    <border>
      <left/>
      <right/>
      <top/>
      <bottom style="thin">
        <color rgb="FF002060"/>
      </bottom>
      <diagonal/>
    </border>
    <border>
      <left/>
      <right/>
      <top style="thin">
        <color auto="1"/>
      </top>
      <bottom/>
      <diagonal/>
    </border>
    <border>
      <left/>
      <right/>
      <top/>
      <bottom style="thin">
        <color auto="1"/>
      </bottom>
      <diagonal/>
    </border>
    <border>
      <left/>
      <right/>
      <top style="hair">
        <color auto="1"/>
      </top>
      <bottom/>
      <diagonal/>
    </border>
    <border>
      <left/>
      <right/>
      <top/>
      <bottom style="thin">
        <color theme="8" tint="-0.499984740745262"/>
      </bottom>
      <diagonal/>
    </border>
    <border>
      <left/>
      <right/>
      <top/>
      <bottom style="medium">
        <color indexed="64"/>
      </bottom>
      <diagonal/>
    </border>
    <border>
      <left/>
      <right/>
      <top style="medium">
        <color indexed="64"/>
      </top>
      <bottom style="thin">
        <color indexed="64"/>
      </bottom>
      <diagonal/>
    </border>
    <border>
      <left/>
      <right/>
      <top style="hair">
        <color rgb="FF002060"/>
      </top>
      <bottom style="hair">
        <color rgb="FF002060"/>
      </bottom>
      <diagonal/>
    </border>
    <border>
      <left/>
      <right/>
      <top style="thin">
        <color rgb="FF002060"/>
      </top>
      <bottom style="medium">
        <color rgb="FF002060"/>
      </bottom>
      <diagonal/>
    </border>
    <border>
      <left/>
      <right/>
      <top style="hair">
        <color auto="1"/>
      </top>
      <bottom style="hair">
        <color auto="1"/>
      </bottom>
      <diagonal/>
    </border>
    <border>
      <left/>
      <right/>
      <top style="thin">
        <color auto="1"/>
      </top>
      <bottom style="thick">
        <color auto="1"/>
      </bottom>
      <diagonal/>
    </border>
    <border>
      <left/>
      <right/>
      <top style="medium">
        <color rgb="FFDBE4F0"/>
      </top>
      <bottom/>
      <diagonal/>
    </border>
    <border>
      <left/>
      <right/>
      <top style="thin">
        <color rgb="FF002060"/>
      </top>
      <bottom style="thin">
        <color rgb="FF002060"/>
      </bottom>
      <diagonal/>
    </border>
    <border>
      <left/>
      <right/>
      <top style="hair">
        <color rgb="FF002060"/>
      </top>
      <bottom/>
      <diagonal/>
    </border>
    <border>
      <left/>
      <right/>
      <top/>
      <bottom style="medium">
        <color rgb="FFDBE4F0"/>
      </bottom>
      <diagonal/>
    </border>
    <border>
      <left/>
      <right/>
      <top/>
      <bottom style="medium">
        <color rgb="FF3333FF"/>
      </bottom>
      <diagonal/>
    </border>
    <border>
      <left/>
      <right/>
      <top style="medium">
        <color rgb="FF3333FF"/>
      </top>
      <bottom/>
      <diagonal/>
    </border>
    <border>
      <left/>
      <right/>
      <top style="medium">
        <color theme="2" tint="-0.499984740745262"/>
      </top>
      <bottom/>
      <diagonal/>
    </border>
  </borders>
  <cellStyleXfs count="7">
    <xf numFmtId="0" fontId="0" fillId="0" borderId="0"/>
    <xf numFmtId="43" fontId="1" fillId="0" borderId="0" applyFont="0" applyFill="0" applyBorder="0" applyAlignment="0" applyProtection="0"/>
    <xf numFmtId="9" fontId="1" fillId="0" borderId="0" applyFont="0" applyFill="0" applyBorder="0" applyAlignment="0" applyProtection="0"/>
    <xf numFmtId="0" fontId="3" fillId="2" borderId="0" applyNumberFormat="0" applyBorder="0" applyAlignment="0" applyProtection="0"/>
    <xf numFmtId="0" fontId="4" fillId="0" borderId="0" applyNumberFormat="0" applyFill="0" applyBorder="0" applyAlignment="0" applyProtection="0"/>
    <xf numFmtId="164" fontId="5" fillId="0" borderId="0" applyFont="0" applyFill="0" applyBorder="0" applyAlignment="0" applyProtection="0"/>
    <xf numFmtId="0" fontId="5" fillId="0" borderId="0"/>
  </cellStyleXfs>
  <cellXfs count="217">
    <xf numFmtId="0" fontId="0" fillId="0" borderId="0" xfId="0"/>
    <xf numFmtId="43" fontId="6" fillId="0" borderId="0" xfId="1" applyFont="1" applyBorder="1"/>
    <xf numFmtId="43" fontId="0" fillId="0" borderId="0" xfId="1" applyFont="1" applyBorder="1"/>
    <xf numFmtId="165" fontId="8" fillId="3" borderId="0" xfId="1" applyNumberFormat="1" applyFont="1" applyFill="1" applyBorder="1"/>
    <xf numFmtId="165" fontId="8" fillId="3" borderId="0" xfId="0" applyNumberFormat="1" applyFont="1" applyFill="1" applyAlignment="1">
      <alignment horizontal="center"/>
    </xf>
    <xf numFmtId="165" fontId="9" fillId="0" borderId="0" xfId="1" applyNumberFormat="1" applyFont="1" applyFill="1" applyBorder="1"/>
    <xf numFmtId="43" fontId="5" fillId="0" borderId="0" xfId="1" applyFont="1" applyBorder="1"/>
    <xf numFmtId="0" fontId="0" fillId="4" borderId="0" xfId="0" applyFill="1"/>
    <xf numFmtId="165" fontId="8" fillId="4" borderId="0" xfId="0" applyNumberFormat="1" applyFont="1" applyFill="1" applyAlignment="1">
      <alignment horizontal="center"/>
    </xf>
    <xf numFmtId="165" fontId="8" fillId="4" borderId="0" xfId="0" applyNumberFormat="1" applyFont="1" applyFill="1" applyAlignment="1">
      <alignment horizontal="right"/>
    </xf>
    <xf numFmtId="0" fontId="6" fillId="4" borderId="0" xfId="0" applyFont="1" applyFill="1"/>
    <xf numFmtId="168" fontId="0" fillId="0" borderId="0" xfId="0" applyNumberFormat="1"/>
    <xf numFmtId="0" fontId="10" fillId="0" borderId="0" xfId="0" applyFont="1"/>
    <xf numFmtId="10" fontId="11" fillId="0" borderId="0" xfId="2" applyNumberFormat="1" applyFont="1"/>
    <xf numFmtId="0" fontId="6" fillId="0" borderId="1" xfId="0" applyFont="1" applyBorder="1"/>
    <xf numFmtId="168" fontId="6" fillId="0" borderId="1" xfId="0" applyNumberFormat="1" applyFont="1" applyBorder="1"/>
    <xf numFmtId="10" fontId="9" fillId="0" borderId="0" xfId="2" applyNumberFormat="1" applyFont="1"/>
    <xf numFmtId="168" fontId="9" fillId="0" borderId="0" xfId="0" applyNumberFormat="1" applyFont="1"/>
    <xf numFmtId="10" fontId="12" fillId="0" borderId="0" xfId="2" applyNumberFormat="1" applyFont="1"/>
    <xf numFmtId="164" fontId="13" fillId="0" borderId="0" xfId="5" applyFont="1" applyBorder="1"/>
    <xf numFmtId="164" fontId="14" fillId="0" borderId="0" xfId="5" applyFont="1" applyBorder="1"/>
    <xf numFmtId="0" fontId="0" fillId="0" borderId="1" xfId="0" applyBorder="1"/>
    <xf numFmtId="168" fontId="0" fillId="0" borderId="1" xfId="0" applyNumberFormat="1" applyBorder="1"/>
    <xf numFmtId="0" fontId="6" fillId="0" borderId="0" xfId="0" applyFont="1"/>
    <xf numFmtId="168" fontId="6" fillId="0" borderId="0" xfId="0" applyNumberFormat="1" applyFont="1"/>
    <xf numFmtId="0" fontId="2" fillId="0" borderId="0" xfId="0" applyFont="1"/>
    <xf numFmtId="0" fontId="1" fillId="0" borderId="0" xfId="0" applyFont="1"/>
    <xf numFmtId="165" fontId="8" fillId="5" borderId="0" xfId="0" applyNumberFormat="1" applyFont="1" applyFill="1" applyAlignment="1">
      <alignment horizontal="center"/>
    </xf>
    <xf numFmtId="166" fontId="8" fillId="5" borderId="0" xfId="0" applyNumberFormat="1" applyFont="1" applyFill="1" applyAlignment="1">
      <alignment horizontal="center"/>
    </xf>
    <xf numFmtId="167" fontId="8" fillId="5" borderId="0" xfId="0" applyNumberFormat="1" applyFont="1" applyFill="1" applyAlignment="1">
      <alignment horizontal="right"/>
    </xf>
    <xf numFmtId="0" fontId="6" fillId="6" borderId="0" xfId="0" applyFont="1" applyFill="1"/>
    <xf numFmtId="0" fontId="8" fillId="6" borderId="0" xfId="0" applyFont="1" applyFill="1"/>
    <xf numFmtId="0" fontId="7" fillId="6" borderId="0" xfId="0" applyFont="1" applyFill="1"/>
    <xf numFmtId="0" fontId="18" fillId="0" borderId="0" xfId="0" applyFont="1"/>
    <xf numFmtId="0" fontId="0" fillId="0" borderId="2" xfId="0" applyBorder="1"/>
    <xf numFmtId="0" fontId="0" fillId="0" borderId="2" xfId="0" applyBorder="1" applyAlignment="1">
      <alignment horizontal="right"/>
    </xf>
    <xf numFmtId="0" fontId="0" fillId="0" borderId="3" xfId="0" applyBorder="1" applyAlignment="1">
      <alignment vertical="top"/>
    </xf>
    <xf numFmtId="0" fontId="0" fillId="0" borderId="3" xfId="0" applyBorder="1" applyAlignment="1">
      <alignment horizontal="right" vertical="top"/>
    </xf>
    <xf numFmtId="0" fontId="0" fillId="0" borderId="0" xfId="0" applyAlignment="1">
      <alignment vertical="top"/>
    </xf>
    <xf numFmtId="0" fontId="19" fillId="0" borderId="0" xfId="0" applyFont="1"/>
    <xf numFmtId="169" fontId="19" fillId="0" borderId="0" xfId="0" applyNumberFormat="1" applyFont="1"/>
    <xf numFmtId="10" fontId="19" fillId="0" borderId="0" xfId="0" applyNumberFormat="1" applyFont="1" applyAlignment="1">
      <alignment vertical="top"/>
    </xf>
    <xf numFmtId="2" fontId="19" fillId="0" borderId="0" xfId="0" applyNumberFormat="1" applyFont="1"/>
    <xf numFmtId="10" fontId="0" fillId="0" borderId="0" xfId="0" applyNumberFormat="1"/>
    <xf numFmtId="0" fontId="2" fillId="0" borderId="4" xfId="0" applyFont="1" applyBorder="1"/>
    <xf numFmtId="10" fontId="0" fillId="0" borderId="4" xfId="2" applyNumberFormat="1" applyFont="1" applyBorder="1"/>
    <xf numFmtId="0" fontId="2" fillId="0" borderId="5" xfId="0" applyFont="1" applyBorder="1"/>
    <xf numFmtId="10" fontId="0" fillId="0" borderId="5" xfId="2" applyNumberFormat="1" applyFont="1" applyBorder="1"/>
    <xf numFmtId="2" fontId="0" fillId="0" borderId="0" xfId="0" applyNumberFormat="1"/>
    <xf numFmtId="0" fontId="0" fillId="0" borderId="5" xfId="0" applyBorder="1"/>
    <xf numFmtId="10" fontId="19" fillId="0" borderId="0" xfId="2" applyNumberFormat="1" applyFont="1"/>
    <xf numFmtId="10" fontId="19" fillId="0" borderId="0" xfId="0" applyNumberFormat="1" applyFont="1" applyAlignment="1">
      <alignment horizontal="right"/>
    </xf>
    <xf numFmtId="10" fontId="0" fillId="0" borderId="0" xfId="0" applyNumberFormat="1" applyAlignment="1">
      <alignment horizontal="right"/>
    </xf>
    <xf numFmtId="0" fontId="0" fillId="0" borderId="6" xfId="0" applyBorder="1"/>
    <xf numFmtId="10" fontId="0" fillId="7" borderId="6" xfId="2" applyNumberFormat="1" applyFont="1" applyFill="1" applyBorder="1"/>
    <xf numFmtId="2" fontId="0" fillId="7" borderId="0" xfId="0" applyNumberFormat="1" applyFill="1" applyAlignment="1">
      <alignment horizontal="right"/>
    </xf>
    <xf numFmtId="10" fontId="0" fillId="7" borderId="6" xfId="0" applyNumberFormat="1" applyFill="1" applyBorder="1"/>
    <xf numFmtId="0" fontId="2" fillId="0" borderId="5" xfId="0" applyFont="1" applyBorder="1" applyAlignment="1">
      <alignment horizontal="right"/>
    </xf>
    <xf numFmtId="10" fontId="0" fillId="0" borderId="0" xfId="2" applyNumberFormat="1" applyFont="1"/>
    <xf numFmtId="10" fontId="19" fillId="0" borderId="0" xfId="0" applyNumberFormat="1" applyFont="1"/>
    <xf numFmtId="10" fontId="0" fillId="0" borderId="0" xfId="2" applyNumberFormat="1" applyFont="1" applyBorder="1"/>
    <xf numFmtId="10" fontId="0" fillId="0" borderId="6" xfId="2" applyNumberFormat="1" applyFont="1" applyBorder="1"/>
    <xf numFmtId="10" fontId="0" fillId="0" borderId="6" xfId="0" applyNumberFormat="1" applyBorder="1"/>
    <xf numFmtId="2" fontId="0" fillId="0" borderId="6" xfId="0" applyNumberFormat="1" applyBorder="1"/>
    <xf numFmtId="10" fontId="0" fillId="7" borderId="0" xfId="0" applyNumberFormat="1" applyFill="1"/>
    <xf numFmtId="0" fontId="20" fillId="0" borderId="0" xfId="0" applyFont="1"/>
    <xf numFmtId="0" fontId="2" fillId="8" borderId="0" xfId="0" applyFont="1" applyFill="1"/>
    <xf numFmtId="10" fontId="2" fillId="8" borderId="0" xfId="0" applyNumberFormat="1" applyFont="1" applyFill="1"/>
    <xf numFmtId="10" fontId="0" fillId="4" borderId="0" xfId="2" applyNumberFormat="1" applyFont="1" applyFill="1" applyAlignment="1"/>
    <xf numFmtId="2" fontId="0" fillId="4" borderId="0" xfId="0" applyNumberFormat="1" applyFill="1"/>
    <xf numFmtId="0" fontId="2" fillId="0" borderId="7" xfId="0" applyFont="1" applyBorder="1" applyAlignment="1">
      <alignment horizontal="left"/>
    </xf>
    <xf numFmtId="0" fontId="2" fillId="0" borderId="7" xfId="0" applyFont="1" applyBorder="1" applyAlignment="1">
      <alignment horizontal="right"/>
    </xf>
    <xf numFmtId="0" fontId="0" fillId="0" borderId="0" xfId="0" applyAlignment="1">
      <alignment horizontal="left"/>
    </xf>
    <xf numFmtId="0" fontId="0" fillId="8" borderId="0" xfId="0" applyFill="1"/>
    <xf numFmtId="2" fontId="0" fillId="8" borderId="0" xfId="0" applyNumberFormat="1" applyFill="1"/>
    <xf numFmtId="0" fontId="0" fillId="0" borderId="0" xfId="0" applyAlignment="1">
      <alignment horizontal="right"/>
    </xf>
    <xf numFmtId="0" fontId="15" fillId="4" borderId="0" xfId="0" applyFont="1" applyFill="1" applyAlignment="1">
      <alignment horizontal="center"/>
    </xf>
    <xf numFmtId="4" fontId="5" fillId="0" borderId="0" xfId="6" applyNumberFormat="1" applyAlignment="1">
      <alignment wrapText="1" readingOrder="1"/>
    </xf>
    <xf numFmtId="170" fontId="5" fillId="0" borderId="0" xfId="6" applyNumberFormat="1" applyAlignment="1">
      <alignment horizontal="left" wrapText="1" readingOrder="1"/>
    </xf>
    <xf numFmtId="0" fontId="2" fillId="0" borderId="0" xfId="0" applyFont="1" applyAlignment="1">
      <alignment horizontal="right"/>
    </xf>
    <xf numFmtId="0" fontId="6" fillId="0" borderId="5" xfId="6" applyFont="1" applyBorder="1" applyAlignment="1">
      <alignment wrapText="1" readingOrder="1"/>
    </xf>
    <xf numFmtId="10" fontId="0" fillId="0" borderId="0" xfId="2" applyNumberFormat="1" applyFont="1" applyAlignment="1">
      <alignment horizontal="right"/>
    </xf>
    <xf numFmtId="0" fontId="0" fillId="0" borderId="8" xfId="0" applyBorder="1"/>
    <xf numFmtId="0" fontId="22" fillId="0" borderId="9" xfId="0" applyFont="1" applyBorder="1" applyAlignment="1">
      <alignment horizontal="center"/>
    </xf>
    <xf numFmtId="0" fontId="22" fillId="0" borderId="9" xfId="0" applyFont="1" applyBorder="1" applyAlignment="1">
      <alignment horizontal="centerContinuous"/>
    </xf>
    <xf numFmtId="2" fontId="0" fillId="0" borderId="0" xfId="2" applyNumberFormat="1" applyFont="1"/>
    <xf numFmtId="172" fontId="0" fillId="0" borderId="0" xfId="2" applyNumberFormat="1" applyFont="1"/>
    <xf numFmtId="2" fontId="0" fillId="4" borderId="4" xfId="0" applyNumberFormat="1" applyFill="1" applyBorder="1"/>
    <xf numFmtId="2" fontId="0" fillId="4" borderId="5" xfId="0" applyNumberFormat="1" applyFill="1" applyBorder="1"/>
    <xf numFmtId="169" fontId="0" fillId="0" borderId="6" xfId="0" applyNumberFormat="1" applyBorder="1"/>
    <xf numFmtId="0" fontId="15" fillId="5" borderId="0" xfId="0" applyFont="1" applyFill="1"/>
    <xf numFmtId="0" fontId="3" fillId="5" borderId="0" xfId="0" applyFont="1" applyFill="1"/>
    <xf numFmtId="0" fontId="2" fillId="0" borderId="0" xfId="0" applyFont="1" applyAlignment="1">
      <alignment horizontal="left"/>
    </xf>
    <xf numFmtId="0" fontId="2" fillId="7" borderId="0" xfId="0" applyFont="1" applyFill="1"/>
    <xf numFmtId="10" fontId="2" fillId="7" borderId="0" xfId="0" applyNumberFormat="1" applyFont="1" applyFill="1"/>
    <xf numFmtId="0" fontId="2" fillId="4" borderId="0" xfId="0" applyFont="1" applyFill="1"/>
    <xf numFmtId="10" fontId="2" fillId="4" borderId="0" xfId="0" applyNumberFormat="1" applyFont="1" applyFill="1"/>
    <xf numFmtId="0" fontId="2" fillId="0" borderId="6" xfId="0" applyFont="1" applyBorder="1"/>
    <xf numFmtId="17" fontId="15" fillId="5" borderId="0" xfId="0" applyNumberFormat="1" applyFont="1" applyFill="1"/>
    <xf numFmtId="0" fontId="0" fillId="0" borderId="10" xfId="0" applyBorder="1"/>
    <xf numFmtId="173" fontId="0" fillId="0" borderId="10" xfId="0" applyNumberFormat="1" applyBorder="1"/>
    <xf numFmtId="173" fontId="0" fillId="0" borderId="0" xfId="0" applyNumberFormat="1"/>
    <xf numFmtId="0" fontId="2" fillId="0" borderId="2" xfId="0" applyFont="1" applyBorder="1"/>
    <xf numFmtId="173" fontId="2" fillId="0" borderId="2" xfId="0" applyNumberFormat="1" applyFont="1" applyBorder="1"/>
    <xf numFmtId="0" fontId="2" fillId="0" borderId="11" xfId="0" applyFont="1" applyBorder="1"/>
    <xf numFmtId="173" fontId="2" fillId="0" borderId="11" xfId="0" applyNumberFormat="1" applyFont="1" applyBorder="1"/>
    <xf numFmtId="173" fontId="2" fillId="0" borderId="0" xfId="0" applyNumberFormat="1" applyFont="1"/>
    <xf numFmtId="0" fontId="0" fillId="0" borderId="11" xfId="0" applyBorder="1"/>
    <xf numFmtId="10" fontId="2" fillId="0" borderId="11" xfId="2" applyNumberFormat="1" applyFont="1" applyBorder="1"/>
    <xf numFmtId="10" fontId="19" fillId="0" borderId="10" xfId="0" applyNumberFormat="1" applyFont="1" applyBorder="1"/>
    <xf numFmtId="173" fontId="23" fillId="0" borderId="10" xfId="0" applyNumberFormat="1" applyFont="1" applyBorder="1"/>
    <xf numFmtId="3" fontId="0" fillId="0" borderId="0" xfId="0" applyNumberFormat="1"/>
    <xf numFmtId="10" fontId="0" fillId="0" borderId="10" xfId="0" applyNumberFormat="1" applyBorder="1"/>
    <xf numFmtId="10" fontId="2" fillId="0" borderId="11" xfId="0" applyNumberFormat="1" applyFont="1" applyBorder="1"/>
    <xf numFmtId="174" fontId="15" fillId="5" borderId="0" xfId="0" applyNumberFormat="1" applyFont="1" applyFill="1"/>
    <xf numFmtId="175" fontId="15" fillId="5" borderId="0" xfId="0" applyNumberFormat="1" applyFont="1" applyFill="1"/>
    <xf numFmtId="0" fontId="0" fillId="0" borderId="12" xfId="0" applyBorder="1"/>
    <xf numFmtId="176" fontId="0" fillId="7" borderId="12" xfId="0" applyNumberFormat="1" applyFill="1" applyBorder="1"/>
    <xf numFmtId="10" fontId="19" fillId="7" borderId="12" xfId="0" applyNumberFormat="1" applyFont="1" applyFill="1" applyBorder="1"/>
    <xf numFmtId="10" fontId="0" fillId="0" borderId="12" xfId="0" applyNumberFormat="1" applyBorder="1"/>
    <xf numFmtId="10" fontId="0" fillId="7" borderId="12" xfId="0" applyNumberFormat="1" applyFill="1" applyBorder="1"/>
    <xf numFmtId="10" fontId="19" fillId="0" borderId="12" xfId="0" applyNumberFormat="1" applyFont="1" applyBorder="1"/>
    <xf numFmtId="0" fontId="0" fillId="7" borderId="12" xfId="0" applyFill="1" applyBorder="1"/>
    <xf numFmtId="0" fontId="19" fillId="0" borderId="12" xfId="0" applyFont="1" applyBorder="1"/>
    <xf numFmtId="171" fontId="0" fillId="0" borderId="12" xfId="0" applyNumberFormat="1" applyBorder="1"/>
    <xf numFmtId="0" fontId="0" fillId="7" borderId="0" xfId="0" applyFill="1"/>
    <xf numFmtId="0" fontId="2" fillId="0" borderId="13" xfId="0" applyFont="1" applyBorder="1"/>
    <xf numFmtId="0" fontId="2" fillId="7" borderId="13" xfId="0" applyFont="1" applyFill="1" applyBorder="1"/>
    <xf numFmtId="4" fontId="0" fillId="0" borderId="0" xfId="0" applyNumberFormat="1"/>
    <xf numFmtId="4" fontId="2" fillId="0" borderId="13" xfId="0" applyNumberFormat="1" applyFont="1" applyBorder="1"/>
    <xf numFmtId="4" fontId="2" fillId="0" borderId="0" xfId="0" applyNumberFormat="1" applyFont="1"/>
    <xf numFmtId="177" fontId="0" fillId="0" borderId="0" xfId="0" applyNumberFormat="1"/>
    <xf numFmtId="0" fontId="15" fillId="4" borderId="0" xfId="0" applyFont="1" applyFill="1"/>
    <xf numFmtId="0" fontId="3" fillId="4" borderId="0" xfId="0" applyFont="1" applyFill="1"/>
    <xf numFmtId="17" fontId="3" fillId="4" borderId="0" xfId="0" applyNumberFormat="1" applyFont="1" applyFill="1"/>
    <xf numFmtId="3" fontId="25" fillId="9" borderId="0" xfId="0" applyNumberFormat="1" applyFont="1" applyFill="1" applyAlignment="1">
      <alignment horizontal="right" vertical="center" wrapText="1"/>
    </xf>
    <xf numFmtId="3" fontId="26" fillId="10" borderId="14" xfId="0" applyNumberFormat="1" applyFont="1" applyFill="1" applyBorder="1" applyAlignment="1">
      <alignment horizontal="right" vertical="center" wrapText="1"/>
    </xf>
    <xf numFmtId="3" fontId="26" fillId="9" borderId="14" xfId="0" applyNumberFormat="1" applyFont="1" applyFill="1" applyBorder="1" applyAlignment="1">
      <alignment horizontal="right" vertical="center" wrapText="1"/>
    </xf>
    <xf numFmtId="0" fontId="28" fillId="9" borderId="0" xfId="0" applyFont="1" applyFill="1" applyAlignment="1">
      <alignment horizontal="left" vertical="center" indent="2"/>
    </xf>
    <xf numFmtId="0" fontId="28" fillId="9" borderId="0" xfId="0" applyFont="1" applyFill="1" applyAlignment="1">
      <alignment horizontal="left" vertical="center"/>
    </xf>
    <xf numFmtId="0" fontId="2" fillId="0" borderId="15" xfId="0" applyFont="1" applyBorder="1"/>
    <xf numFmtId="173" fontId="0" fillId="0" borderId="16" xfId="0" applyNumberFormat="1" applyBorder="1"/>
    <xf numFmtId="17" fontId="0" fillId="0" borderId="0" xfId="0" applyNumberFormat="1"/>
    <xf numFmtId="17" fontId="24" fillId="9" borderId="0" xfId="0" applyNumberFormat="1" applyFont="1" applyFill="1" applyAlignment="1">
      <alignment horizontal="right" vertical="center" wrapText="1"/>
    </xf>
    <xf numFmtId="3" fontId="26" fillId="9" borderId="0" xfId="0" applyNumberFormat="1" applyFont="1" applyFill="1" applyAlignment="1">
      <alignment horizontal="right" vertical="center" wrapText="1"/>
    </xf>
    <xf numFmtId="0" fontId="26" fillId="10" borderId="0" xfId="0" applyFont="1" applyFill="1" applyAlignment="1">
      <alignment horizontal="left" vertical="center" indent="2"/>
    </xf>
    <xf numFmtId="3" fontId="26" fillId="10" borderId="0" xfId="0" applyNumberFormat="1" applyFont="1" applyFill="1" applyAlignment="1">
      <alignment horizontal="right" vertical="center" wrapText="1"/>
    </xf>
    <xf numFmtId="0" fontId="25" fillId="4" borderId="0" xfId="0" applyFont="1" applyFill="1" applyAlignment="1">
      <alignment horizontal="left" vertical="center" indent="2"/>
    </xf>
    <xf numFmtId="17" fontId="30" fillId="9" borderId="17" xfId="0" applyNumberFormat="1" applyFont="1" applyFill="1" applyBorder="1" applyAlignment="1">
      <alignment horizontal="right" vertical="center" wrapText="1"/>
    </xf>
    <xf numFmtId="0" fontId="31" fillId="10" borderId="14" xfId="0" applyFont="1" applyFill="1" applyBorder="1" applyAlignment="1">
      <alignment horizontal="left" vertical="center" indent="2"/>
    </xf>
    <xf numFmtId="3" fontId="31" fillId="10" borderId="14" xfId="0" applyNumberFormat="1" applyFont="1" applyFill="1" applyBorder="1" applyAlignment="1">
      <alignment horizontal="right" vertical="center" wrapText="1"/>
    </xf>
    <xf numFmtId="0" fontId="31" fillId="10" borderId="14" xfId="0" applyFont="1" applyFill="1" applyBorder="1" applyAlignment="1">
      <alignment horizontal="left" vertical="center"/>
    </xf>
    <xf numFmtId="0" fontId="0" fillId="10" borderId="0" xfId="0" applyFill="1" applyAlignment="1">
      <alignment horizontal="left" vertical="center"/>
    </xf>
    <xf numFmtId="3" fontId="0" fillId="10" borderId="0" xfId="0" applyNumberFormat="1" applyFill="1" applyAlignment="1">
      <alignment horizontal="right" vertical="center" wrapText="1"/>
    </xf>
    <xf numFmtId="0" fontId="0" fillId="10" borderId="0" xfId="0" applyFill="1" applyAlignment="1">
      <alignment horizontal="right" vertical="center" wrapText="1"/>
    </xf>
    <xf numFmtId="0" fontId="31" fillId="10" borderId="14" xfId="0" applyFont="1" applyFill="1" applyBorder="1" applyAlignment="1">
      <alignment horizontal="right" vertical="center" wrapText="1"/>
    </xf>
    <xf numFmtId="0" fontId="31" fillId="9" borderId="14" xfId="0" applyFont="1" applyFill="1" applyBorder="1" applyAlignment="1">
      <alignment horizontal="left" vertical="center" indent="2"/>
    </xf>
    <xf numFmtId="3" fontId="31" fillId="9" borderId="14" xfId="0" applyNumberFormat="1" applyFont="1" applyFill="1" applyBorder="1" applyAlignment="1">
      <alignment horizontal="right" vertical="center" wrapText="1"/>
    </xf>
    <xf numFmtId="0" fontId="31" fillId="9" borderId="14" xfId="0" applyFont="1" applyFill="1" applyBorder="1" applyAlignment="1">
      <alignment horizontal="right" vertical="center" wrapText="1"/>
    </xf>
    <xf numFmtId="0" fontId="0" fillId="9" borderId="0" xfId="0" applyFill="1" applyAlignment="1">
      <alignment horizontal="left" vertical="center"/>
    </xf>
    <xf numFmtId="3" fontId="0" fillId="9" borderId="0" xfId="0" applyNumberFormat="1" applyFill="1" applyAlignment="1">
      <alignment horizontal="right" vertical="center" wrapText="1"/>
    </xf>
    <xf numFmtId="0" fontId="0" fillId="9" borderId="0" xfId="0" applyFill="1" applyAlignment="1">
      <alignment horizontal="right" vertical="center" wrapText="1"/>
    </xf>
    <xf numFmtId="0" fontId="33" fillId="0" borderId="0" xfId="0" applyFont="1" applyAlignment="1">
      <alignment vertical="center"/>
    </xf>
    <xf numFmtId="10" fontId="19" fillId="7" borderId="0" xfId="0" applyNumberFormat="1" applyFont="1" applyFill="1"/>
    <xf numFmtId="10" fontId="23" fillId="4" borderId="12" xfId="0" applyNumberFormat="1" applyFont="1" applyFill="1" applyBorder="1"/>
    <xf numFmtId="176" fontId="0" fillId="4" borderId="12" xfId="0" applyNumberFormat="1" applyFill="1" applyBorder="1"/>
    <xf numFmtId="9" fontId="2" fillId="0" borderId="0" xfId="0" applyNumberFormat="1" applyFont="1" applyAlignment="1">
      <alignment horizontal="left"/>
    </xf>
    <xf numFmtId="10" fontId="2" fillId="0" borderId="0" xfId="0" applyNumberFormat="1" applyFont="1" applyAlignment="1">
      <alignment horizontal="left"/>
    </xf>
    <xf numFmtId="9" fontId="2" fillId="0" borderId="0" xfId="0" applyNumberFormat="1" applyFont="1"/>
    <xf numFmtId="10" fontId="2" fillId="0" borderId="0" xfId="0" applyNumberFormat="1" applyFont="1"/>
    <xf numFmtId="4" fontId="2" fillId="0" borderId="0" xfId="0" applyNumberFormat="1" applyFont="1" applyAlignment="1">
      <alignment horizontal="left"/>
    </xf>
    <xf numFmtId="2" fontId="2" fillId="0" borderId="4" xfId="0" applyNumberFormat="1" applyFont="1" applyBorder="1"/>
    <xf numFmtId="173" fontId="2" fillId="4" borderId="0" xfId="0" applyNumberFormat="1" applyFont="1" applyFill="1"/>
    <xf numFmtId="4" fontId="3" fillId="0" borderId="0" xfId="0" applyNumberFormat="1" applyFont="1"/>
    <xf numFmtId="0" fontId="2" fillId="0" borderId="0" xfId="0" applyFont="1" applyAlignment="1">
      <alignment horizontal="center"/>
    </xf>
    <xf numFmtId="10" fontId="2" fillId="0" borderId="0" xfId="0" applyNumberFormat="1" applyFont="1" applyAlignment="1">
      <alignment horizontal="right"/>
    </xf>
    <xf numFmtId="0" fontId="0" fillId="0" borderId="0" xfId="0" applyAlignment="1">
      <alignment wrapText="1"/>
    </xf>
    <xf numFmtId="0" fontId="0" fillId="0" borderId="18" xfId="0" applyBorder="1"/>
    <xf numFmtId="165" fontId="2" fillId="0" borderId="0" xfId="0" applyNumberFormat="1" applyFont="1"/>
    <xf numFmtId="0" fontId="2" fillId="6" borderId="0" xfId="0" applyFont="1" applyFill="1"/>
    <xf numFmtId="10" fontId="2" fillId="6" borderId="0" xfId="2" applyNumberFormat="1" applyFont="1" applyFill="1"/>
    <xf numFmtId="169" fontId="0" fillId="0" borderId="0" xfId="0" applyNumberFormat="1"/>
    <xf numFmtId="178" fontId="2" fillId="6" borderId="0" xfId="2" applyNumberFormat="1" applyFont="1" applyFill="1"/>
    <xf numFmtId="177" fontId="2" fillId="6" borderId="0" xfId="2" applyNumberFormat="1" applyFont="1" applyFill="1"/>
    <xf numFmtId="0" fontId="0" fillId="5" borderId="0" xfId="0" applyFill="1"/>
    <xf numFmtId="0" fontId="0" fillId="0" borderId="19" xfId="0" applyBorder="1"/>
    <xf numFmtId="0" fontId="34" fillId="4" borderId="0" xfId="0" applyFont="1" applyFill="1" applyAlignment="1">
      <alignment horizontal="center"/>
    </xf>
    <xf numFmtId="0" fontId="35" fillId="0" borderId="0" xfId="0" applyFont="1"/>
    <xf numFmtId="169" fontId="2" fillId="0" borderId="13" xfId="0" applyNumberFormat="1" applyFont="1" applyBorder="1"/>
    <xf numFmtId="180" fontId="0" fillId="0" borderId="0" xfId="0" applyNumberFormat="1"/>
    <xf numFmtId="4" fontId="0" fillId="7" borderId="0" xfId="0" applyNumberFormat="1" applyFill="1"/>
    <xf numFmtId="176" fontId="0" fillId="0" borderId="0" xfId="0" applyNumberFormat="1"/>
    <xf numFmtId="17" fontId="2" fillId="0" borderId="0" xfId="0" applyNumberFormat="1" applyFont="1"/>
    <xf numFmtId="0" fontId="2" fillId="11" borderId="0" xfId="0" applyFont="1" applyFill="1"/>
    <xf numFmtId="10" fontId="2" fillId="11" borderId="0" xfId="2" applyNumberFormat="1" applyFont="1" applyFill="1"/>
    <xf numFmtId="179" fontId="2" fillId="11" borderId="0" xfId="0" applyNumberFormat="1" applyFont="1" applyFill="1"/>
    <xf numFmtId="0" fontId="38" fillId="0" borderId="0" xfId="0" applyFont="1"/>
    <xf numFmtId="2" fontId="37" fillId="0" borderId="0" xfId="0" applyNumberFormat="1" applyFont="1" applyAlignment="1">
      <alignment horizontal="left"/>
    </xf>
    <xf numFmtId="0" fontId="37" fillId="0" borderId="0" xfId="0" applyFont="1"/>
    <xf numFmtId="0" fontId="36" fillId="0" borderId="0" xfId="0" applyFont="1" applyAlignment="1">
      <alignment vertical="top" readingOrder="1"/>
    </xf>
    <xf numFmtId="179" fontId="39" fillId="0" borderId="0" xfId="0" applyNumberFormat="1" applyFont="1" applyAlignment="1">
      <alignment horizontal="right"/>
    </xf>
    <xf numFmtId="0" fontId="16" fillId="12" borderId="0" xfId="0" applyFont="1" applyFill="1"/>
    <xf numFmtId="0" fontId="17" fillId="12" borderId="0" xfId="0" applyFont="1" applyFill="1"/>
    <xf numFmtId="0" fontId="0" fillId="12" borderId="0" xfId="0" applyFill="1"/>
    <xf numFmtId="0" fontId="37" fillId="0" borderId="0" xfId="0" applyFont="1" applyAlignment="1">
      <alignment wrapText="1"/>
    </xf>
    <xf numFmtId="43" fontId="38" fillId="0" borderId="0" xfId="0" applyNumberFormat="1" applyFont="1"/>
    <xf numFmtId="0" fontId="40" fillId="0" borderId="0" xfId="0" applyFont="1"/>
    <xf numFmtId="0" fontId="34" fillId="5" borderId="0" xfId="0" applyFont="1" applyFill="1" applyAlignment="1">
      <alignment horizontal="center"/>
    </xf>
    <xf numFmtId="0" fontId="36" fillId="0" borderId="20" xfId="0" applyFont="1" applyBorder="1" applyAlignment="1">
      <alignment horizontal="center"/>
    </xf>
    <xf numFmtId="0" fontId="37" fillId="0" borderId="20" xfId="0" applyFont="1" applyBorder="1" applyAlignment="1">
      <alignment horizontal="center"/>
    </xf>
    <xf numFmtId="0" fontId="0" fillId="0" borderId="0" xfId="0" applyAlignment="1">
      <alignment horizontal="left" vertical="center" wrapText="1"/>
    </xf>
    <xf numFmtId="0" fontId="15" fillId="5" borderId="0" xfId="0" applyFont="1" applyFill="1" applyAlignment="1">
      <alignment horizontal="center"/>
    </xf>
    <xf numFmtId="0" fontId="2" fillId="0" borderId="0" xfId="0" applyFont="1" applyAlignment="1">
      <alignment horizontal="center" textRotation="90"/>
    </xf>
    <xf numFmtId="0" fontId="2" fillId="0" borderId="0" xfId="0" applyFont="1" applyAlignment="1">
      <alignment horizontal="center"/>
    </xf>
    <xf numFmtId="0" fontId="8" fillId="5" borderId="0" xfId="0" applyFont="1" applyFill="1" applyAlignment="1">
      <alignment horizontal="center"/>
    </xf>
    <xf numFmtId="164" fontId="4" fillId="0" borderId="0" xfId="4" applyNumberFormat="1" applyBorder="1" applyAlignment="1" applyProtection="1">
      <alignment horizontal="center"/>
    </xf>
    <xf numFmtId="164" fontId="8" fillId="2" borderId="0" xfId="3" applyNumberFormat="1" applyFont="1" applyBorder="1" applyAlignment="1">
      <alignment horizontal="center"/>
    </xf>
  </cellXfs>
  <cellStyles count="7">
    <cellStyle name="Accent6" xfId="3" builtinId="49"/>
    <cellStyle name="Comma" xfId="1" builtinId="3"/>
    <cellStyle name="Comma 2" xfId="5" xr:uid="{D6381AF3-3C42-4241-B1D6-26F9DA334E0E}"/>
    <cellStyle name="Hyperlink" xfId="4" builtinId="8"/>
    <cellStyle name="Normal" xfId="0" builtinId="0"/>
    <cellStyle name="Normal 2" xfId="6" xr:uid="{9F5DB063-BB17-4F80-81CB-1804D8A819BC}"/>
    <cellStyle name="Percent" xfId="2" builtinId="5"/>
  </cellStyles>
  <dxfs count="1">
    <dxf>
      <font>
        <b/>
        <i val="0"/>
        <color theme="0"/>
      </font>
      <fill>
        <patternFill>
          <bgColor theme="5"/>
        </patternFill>
      </fill>
    </dxf>
  </dxfs>
  <tableStyles count="0" defaultTableStyle="TableStyleMedium2" defaultPivotStyle="PivotStyleLight16"/>
  <colors>
    <mruColors>
      <color rgb="FF37CBFF"/>
      <color rgb="FF3F656D"/>
      <color rgb="FF3333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rgbClr val="002060"/>
            </a:solidFill>
            <a:ln>
              <a:noFill/>
            </a:ln>
            <a:effectLst/>
          </c:spPr>
          <c:invertIfNegative val="0"/>
          <c:dPt>
            <c:idx val="0"/>
            <c:invertIfNegative val="0"/>
            <c:bubble3D val="0"/>
            <c:spPr>
              <a:solidFill>
                <a:schemeClr val="bg2">
                  <a:lumMod val="90000"/>
                </a:schemeClr>
              </a:solidFill>
              <a:ln>
                <a:noFill/>
              </a:ln>
              <a:effectLst/>
            </c:spPr>
            <c:extLst>
              <c:ext xmlns:c16="http://schemas.microsoft.com/office/drawing/2014/chart" uri="{C3380CC4-5D6E-409C-BE32-E72D297353CC}">
                <c16:uniqueId val="{00000003-9DBB-470C-A3A8-E8F930787B92}"/>
              </c:ext>
            </c:extLst>
          </c:dPt>
          <c:dPt>
            <c:idx val="1"/>
            <c:invertIfNegative val="0"/>
            <c:bubble3D val="0"/>
            <c:spPr>
              <a:solidFill>
                <a:schemeClr val="bg2">
                  <a:lumMod val="75000"/>
                </a:schemeClr>
              </a:solidFill>
              <a:ln>
                <a:noFill/>
              </a:ln>
              <a:effectLst/>
            </c:spPr>
            <c:extLst>
              <c:ext xmlns:c16="http://schemas.microsoft.com/office/drawing/2014/chart" uri="{C3380CC4-5D6E-409C-BE32-E72D297353CC}">
                <c16:uniqueId val="{00000002-9DBB-470C-A3A8-E8F930787B92}"/>
              </c:ext>
            </c:extLst>
          </c:dPt>
          <c:dPt>
            <c:idx val="2"/>
            <c:invertIfNegative val="0"/>
            <c:bubble3D val="0"/>
            <c:spPr>
              <a:solidFill>
                <a:schemeClr val="bg2">
                  <a:lumMod val="50000"/>
                </a:schemeClr>
              </a:solidFill>
              <a:ln>
                <a:noFill/>
              </a:ln>
              <a:effectLst/>
            </c:spPr>
            <c:extLst>
              <c:ext xmlns:c16="http://schemas.microsoft.com/office/drawing/2014/chart" uri="{C3380CC4-5D6E-409C-BE32-E72D297353CC}">
                <c16:uniqueId val="{00000001-9DBB-470C-A3A8-E8F930787B92}"/>
              </c:ext>
            </c:extLst>
          </c:dPt>
          <c:dLbls>
            <c:numFmt formatCode="#,##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'Dupont nalysis'!$F$67:$I$67</c:f>
              <c:numCache>
                <c:formatCode>[$-409]mmm\-yy;@</c:formatCode>
                <c:ptCount val="4"/>
                <c:pt idx="0">
                  <c:v>44651</c:v>
                </c:pt>
                <c:pt idx="1">
                  <c:v>45016</c:v>
                </c:pt>
                <c:pt idx="2">
                  <c:v>45382</c:v>
                </c:pt>
                <c:pt idx="3">
                  <c:v>45747</c:v>
                </c:pt>
              </c:numCache>
            </c:numRef>
          </c:cat>
          <c:val>
            <c:numRef>
              <c:f>'Dupont nalysis'!$F$69:$I$69</c:f>
              <c:numCache>
                <c:formatCode>#,##0.0</c:formatCode>
                <c:ptCount val="4"/>
                <c:pt idx="0">
                  <c:v>121641</c:v>
                </c:pt>
                <c:pt idx="1">
                  <c:v>146767</c:v>
                </c:pt>
                <c:pt idx="2">
                  <c:v>153670</c:v>
                </c:pt>
                <c:pt idx="3">
                  <c:v>162990</c:v>
                </c:pt>
              </c:numCache>
            </c:numRef>
          </c:val>
          <c:extLst>
            <c:ext xmlns:c16="http://schemas.microsoft.com/office/drawing/2014/chart" uri="{C3380CC4-5D6E-409C-BE32-E72D297353CC}">
              <c16:uniqueId val="{00000000-9DBB-470C-A3A8-E8F930787B92}"/>
            </c:ext>
          </c:extLst>
        </c:ser>
        <c:dLbls>
          <c:showLegendKey val="0"/>
          <c:showVal val="0"/>
          <c:showCatName val="0"/>
          <c:showSerName val="0"/>
          <c:showPercent val="0"/>
          <c:showBubbleSize val="0"/>
        </c:dLbls>
        <c:gapWidth val="219"/>
        <c:overlap val="-27"/>
        <c:axId val="1443703343"/>
        <c:axId val="1443705263"/>
      </c:barChart>
      <c:catAx>
        <c:axId val="1443703343"/>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443705263"/>
        <c:crosses val="autoZero"/>
        <c:auto val="0"/>
        <c:lblAlgn val="ctr"/>
        <c:lblOffset val="100"/>
        <c:noMultiLvlLbl val="0"/>
      </c:catAx>
      <c:valAx>
        <c:axId val="1443705263"/>
        <c:scaling>
          <c:orientation val="minMax"/>
        </c:scaling>
        <c:delete val="1"/>
        <c:axPos val="l"/>
        <c:numFmt formatCode="#,##0.0" sourceLinked="1"/>
        <c:majorTickMark val="none"/>
        <c:minorTickMark val="none"/>
        <c:tickLblPos val="nextTo"/>
        <c:crossAx val="14437033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bg2">
                  <a:lumMod val="90000"/>
                </a:schemeClr>
              </a:solidFill>
              <a:ln>
                <a:noFill/>
              </a:ln>
              <a:effectLst/>
            </c:spPr>
            <c:extLst>
              <c:ext xmlns:c16="http://schemas.microsoft.com/office/drawing/2014/chart" uri="{C3380CC4-5D6E-409C-BE32-E72D297353CC}">
                <c16:uniqueId val="{00000001-5FC5-4437-BE3E-BE6E23908988}"/>
              </c:ext>
            </c:extLst>
          </c:dPt>
          <c:dPt>
            <c:idx val="1"/>
            <c:invertIfNegative val="0"/>
            <c:bubble3D val="0"/>
            <c:spPr>
              <a:solidFill>
                <a:schemeClr val="bg2">
                  <a:lumMod val="75000"/>
                </a:schemeClr>
              </a:solidFill>
              <a:ln>
                <a:noFill/>
              </a:ln>
              <a:effectLst/>
            </c:spPr>
            <c:extLst>
              <c:ext xmlns:c16="http://schemas.microsoft.com/office/drawing/2014/chart" uri="{C3380CC4-5D6E-409C-BE32-E72D297353CC}">
                <c16:uniqueId val="{00000003-5FC5-4437-BE3E-BE6E23908988}"/>
              </c:ext>
            </c:extLst>
          </c:dPt>
          <c:dPt>
            <c:idx val="2"/>
            <c:invertIfNegative val="0"/>
            <c:bubble3D val="0"/>
            <c:spPr>
              <a:solidFill>
                <a:schemeClr val="bg2">
                  <a:lumMod val="50000"/>
                </a:schemeClr>
              </a:solidFill>
              <a:ln>
                <a:noFill/>
              </a:ln>
              <a:effectLst/>
            </c:spPr>
            <c:extLst>
              <c:ext xmlns:c16="http://schemas.microsoft.com/office/drawing/2014/chart" uri="{C3380CC4-5D6E-409C-BE32-E72D297353CC}">
                <c16:uniqueId val="{00000005-5FC5-4437-BE3E-BE6E23908988}"/>
              </c:ext>
            </c:extLst>
          </c:dPt>
          <c:dPt>
            <c:idx val="3"/>
            <c:invertIfNegative val="0"/>
            <c:bubble3D val="0"/>
            <c:spPr>
              <a:solidFill>
                <a:srgbClr val="002060"/>
              </a:solidFill>
              <a:ln>
                <a:noFill/>
              </a:ln>
              <a:effectLst/>
            </c:spPr>
            <c:extLst>
              <c:ext xmlns:c16="http://schemas.microsoft.com/office/drawing/2014/chart" uri="{C3380CC4-5D6E-409C-BE32-E72D297353CC}">
                <c16:uniqueId val="{00000007-5FC5-4437-BE3E-BE6E23908988}"/>
              </c:ext>
            </c:extLst>
          </c:dPt>
          <c:dLbls>
            <c:numFmt formatCode="#,##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'Dupont nalysis'!$F$67:$I$67</c:f>
              <c:numCache>
                <c:formatCode>[$-409]mmm\-yy;@</c:formatCode>
                <c:ptCount val="4"/>
                <c:pt idx="0">
                  <c:v>44651</c:v>
                </c:pt>
                <c:pt idx="1">
                  <c:v>45016</c:v>
                </c:pt>
                <c:pt idx="2">
                  <c:v>45382</c:v>
                </c:pt>
                <c:pt idx="3">
                  <c:v>45747</c:v>
                </c:pt>
              </c:numCache>
            </c:numRef>
          </c:cat>
          <c:val>
            <c:numRef>
              <c:f>'Dupont nalysis'!$F$68:$I$68</c:f>
              <c:numCache>
                <c:formatCode>#,##0.0</c:formatCode>
                <c:ptCount val="4"/>
                <c:pt idx="0">
                  <c:v>22110</c:v>
                </c:pt>
                <c:pt idx="1">
                  <c:v>24095</c:v>
                </c:pt>
                <c:pt idx="2">
                  <c:v>26233</c:v>
                </c:pt>
                <c:pt idx="3">
                  <c:v>26713</c:v>
                </c:pt>
              </c:numCache>
            </c:numRef>
          </c:val>
          <c:extLst>
            <c:ext xmlns:c16="http://schemas.microsoft.com/office/drawing/2014/chart" uri="{C3380CC4-5D6E-409C-BE32-E72D297353CC}">
              <c16:uniqueId val="{00000006-5FC5-4437-BE3E-BE6E23908988}"/>
            </c:ext>
          </c:extLst>
        </c:ser>
        <c:dLbls>
          <c:showLegendKey val="0"/>
          <c:showVal val="0"/>
          <c:showCatName val="0"/>
          <c:showSerName val="0"/>
          <c:showPercent val="0"/>
          <c:showBubbleSize val="0"/>
        </c:dLbls>
        <c:gapWidth val="219"/>
        <c:overlap val="-27"/>
        <c:axId val="1443703343"/>
        <c:axId val="1443705263"/>
      </c:barChart>
      <c:catAx>
        <c:axId val="1443703343"/>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443705263"/>
        <c:crosses val="autoZero"/>
        <c:auto val="0"/>
        <c:lblAlgn val="ctr"/>
        <c:lblOffset val="100"/>
        <c:noMultiLvlLbl val="0"/>
      </c:catAx>
      <c:valAx>
        <c:axId val="1443705263"/>
        <c:scaling>
          <c:orientation val="minMax"/>
        </c:scaling>
        <c:delete val="1"/>
        <c:axPos val="l"/>
        <c:numFmt formatCode="#,##0.0" sourceLinked="1"/>
        <c:majorTickMark val="none"/>
        <c:minorTickMark val="none"/>
        <c:tickLblPos val="nextTo"/>
        <c:crossAx val="14437033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bg2">
                  <a:lumMod val="90000"/>
                </a:schemeClr>
              </a:solidFill>
              <a:ln>
                <a:noFill/>
              </a:ln>
              <a:effectLst/>
            </c:spPr>
            <c:extLst>
              <c:ext xmlns:c16="http://schemas.microsoft.com/office/drawing/2014/chart" uri="{C3380CC4-5D6E-409C-BE32-E72D297353CC}">
                <c16:uniqueId val="{00000003-A257-440B-93B4-15ADBAAFCAED}"/>
              </c:ext>
            </c:extLst>
          </c:dPt>
          <c:dPt>
            <c:idx val="1"/>
            <c:invertIfNegative val="0"/>
            <c:bubble3D val="0"/>
            <c:spPr>
              <a:solidFill>
                <a:schemeClr val="bg2">
                  <a:lumMod val="75000"/>
                </a:schemeClr>
              </a:solidFill>
              <a:ln>
                <a:noFill/>
              </a:ln>
              <a:effectLst/>
            </c:spPr>
            <c:extLst>
              <c:ext xmlns:c16="http://schemas.microsoft.com/office/drawing/2014/chart" uri="{C3380CC4-5D6E-409C-BE32-E72D297353CC}">
                <c16:uniqueId val="{00000002-A257-440B-93B4-15ADBAAFCAED}"/>
              </c:ext>
            </c:extLst>
          </c:dPt>
          <c:dPt>
            <c:idx val="2"/>
            <c:invertIfNegative val="0"/>
            <c:bubble3D val="0"/>
            <c:spPr>
              <a:solidFill>
                <a:schemeClr val="bg2">
                  <a:lumMod val="50000"/>
                </a:schemeClr>
              </a:solidFill>
              <a:ln>
                <a:noFill/>
              </a:ln>
              <a:effectLst/>
            </c:spPr>
            <c:extLst>
              <c:ext xmlns:c16="http://schemas.microsoft.com/office/drawing/2014/chart" uri="{C3380CC4-5D6E-409C-BE32-E72D297353CC}">
                <c16:uniqueId val="{00000001-A257-440B-93B4-15ADBAAFCAED}"/>
              </c:ext>
            </c:extLst>
          </c:dPt>
          <c:dPt>
            <c:idx val="3"/>
            <c:invertIfNegative val="0"/>
            <c:bubble3D val="0"/>
            <c:spPr>
              <a:solidFill>
                <a:srgbClr val="002060"/>
              </a:solidFill>
              <a:ln>
                <a:noFill/>
              </a:ln>
              <a:effectLst/>
            </c:spPr>
            <c:extLst>
              <c:ext xmlns:c16="http://schemas.microsoft.com/office/drawing/2014/chart" uri="{C3380CC4-5D6E-409C-BE32-E72D297353CC}">
                <c16:uniqueId val="{00000000-A257-440B-93B4-15ADBAAFCAED}"/>
              </c:ext>
            </c:extLst>
          </c:dPt>
          <c:dLbls>
            <c:numFmt formatCode="#,##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'Dupont nalysis'!$F$67:$I$67</c:f>
              <c:numCache>
                <c:formatCode>[$-409]mmm\-yy;@</c:formatCode>
                <c:ptCount val="4"/>
                <c:pt idx="0">
                  <c:v>44651</c:v>
                </c:pt>
                <c:pt idx="1">
                  <c:v>45016</c:v>
                </c:pt>
                <c:pt idx="2">
                  <c:v>45382</c:v>
                </c:pt>
                <c:pt idx="3">
                  <c:v>45747</c:v>
                </c:pt>
              </c:numCache>
            </c:numRef>
          </c:cat>
          <c:val>
            <c:numRef>
              <c:f>'Dupont nalysis'!$F$73:$I$73</c:f>
              <c:numCache>
                <c:formatCode>#,##0.0</c:formatCode>
                <c:ptCount val="4"/>
                <c:pt idx="0">
                  <c:v>112120</c:v>
                </c:pt>
                <c:pt idx="1">
                  <c:v>120662.5</c:v>
                </c:pt>
                <c:pt idx="2">
                  <c:v>130978</c:v>
                </c:pt>
                <c:pt idx="3">
                  <c:v>142577.5</c:v>
                </c:pt>
              </c:numCache>
            </c:numRef>
          </c:val>
          <c:extLst>
            <c:ext xmlns:c16="http://schemas.microsoft.com/office/drawing/2014/chart" uri="{C3380CC4-5D6E-409C-BE32-E72D297353CC}">
              <c16:uniqueId val="{00000006-2F9B-4839-83BE-164B66A7FC56}"/>
            </c:ext>
          </c:extLst>
        </c:ser>
        <c:dLbls>
          <c:showLegendKey val="0"/>
          <c:showVal val="0"/>
          <c:showCatName val="0"/>
          <c:showSerName val="0"/>
          <c:showPercent val="0"/>
          <c:showBubbleSize val="0"/>
        </c:dLbls>
        <c:gapWidth val="219"/>
        <c:overlap val="-27"/>
        <c:axId val="1443703343"/>
        <c:axId val="1443705263"/>
      </c:barChart>
      <c:catAx>
        <c:axId val="1443703343"/>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443705263"/>
        <c:crosses val="autoZero"/>
        <c:auto val="0"/>
        <c:lblAlgn val="ctr"/>
        <c:lblOffset val="100"/>
        <c:noMultiLvlLbl val="0"/>
      </c:catAx>
      <c:valAx>
        <c:axId val="1443705263"/>
        <c:scaling>
          <c:orientation val="minMax"/>
        </c:scaling>
        <c:delete val="1"/>
        <c:axPos val="l"/>
        <c:numFmt formatCode="#,##0.0" sourceLinked="1"/>
        <c:majorTickMark val="none"/>
        <c:minorTickMark val="none"/>
        <c:tickLblPos val="nextTo"/>
        <c:crossAx val="14437033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bg2">
                  <a:lumMod val="90000"/>
                </a:schemeClr>
              </a:solidFill>
              <a:ln>
                <a:noFill/>
              </a:ln>
              <a:effectLst/>
            </c:spPr>
            <c:extLst>
              <c:ext xmlns:c16="http://schemas.microsoft.com/office/drawing/2014/chart" uri="{C3380CC4-5D6E-409C-BE32-E72D297353CC}">
                <c16:uniqueId val="{00000001-98C5-4622-A896-D84F06D3A8B1}"/>
              </c:ext>
            </c:extLst>
          </c:dPt>
          <c:dPt>
            <c:idx val="1"/>
            <c:invertIfNegative val="0"/>
            <c:bubble3D val="0"/>
            <c:spPr>
              <a:solidFill>
                <a:schemeClr val="bg2">
                  <a:lumMod val="75000"/>
                </a:schemeClr>
              </a:solidFill>
              <a:ln>
                <a:noFill/>
              </a:ln>
              <a:effectLst/>
            </c:spPr>
            <c:extLst>
              <c:ext xmlns:c16="http://schemas.microsoft.com/office/drawing/2014/chart" uri="{C3380CC4-5D6E-409C-BE32-E72D297353CC}">
                <c16:uniqueId val="{00000003-98C5-4622-A896-D84F06D3A8B1}"/>
              </c:ext>
            </c:extLst>
          </c:dPt>
          <c:dPt>
            <c:idx val="2"/>
            <c:invertIfNegative val="0"/>
            <c:bubble3D val="0"/>
            <c:spPr>
              <a:solidFill>
                <a:schemeClr val="bg2">
                  <a:lumMod val="50000"/>
                </a:schemeClr>
              </a:solidFill>
              <a:ln>
                <a:noFill/>
              </a:ln>
              <a:effectLst/>
            </c:spPr>
            <c:extLst>
              <c:ext xmlns:c16="http://schemas.microsoft.com/office/drawing/2014/chart" uri="{C3380CC4-5D6E-409C-BE32-E72D297353CC}">
                <c16:uniqueId val="{00000005-98C5-4622-A896-D84F06D3A8B1}"/>
              </c:ext>
            </c:extLst>
          </c:dPt>
          <c:dPt>
            <c:idx val="3"/>
            <c:invertIfNegative val="0"/>
            <c:bubble3D val="0"/>
            <c:spPr>
              <a:solidFill>
                <a:srgbClr val="002060"/>
              </a:solidFill>
              <a:ln>
                <a:noFill/>
              </a:ln>
              <a:effectLst/>
            </c:spPr>
            <c:extLst>
              <c:ext xmlns:c16="http://schemas.microsoft.com/office/drawing/2014/chart" uri="{C3380CC4-5D6E-409C-BE32-E72D297353CC}">
                <c16:uniqueId val="{00000007-98C5-4622-A896-D84F06D3A8B1}"/>
              </c:ext>
            </c:extLst>
          </c:dPt>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'Dupont nalysis'!$F$67:$I$67</c:f>
              <c:numCache>
                <c:formatCode>[$-409]mmm\-yy;@</c:formatCode>
                <c:ptCount val="4"/>
                <c:pt idx="0">
                  <c:v>44651</c:v>
                </c:pt>
                <c:pt idx="1">
                  <c:v>45016</c:v>
                </c:pt>
                <c:pt idx="2">
                  <c:v>45382</c:v>
                </c:pt>
                <c:pt idx="3">
                  <c:v>45747</c:v>
                </c:pt>
              </c:numCache>
            </c:numRef>
          </c:cat>
          <c:val>
            <c:numRef>
              <c:f>'Dupont nalysis'!$F$80:$I$80</c:f>
              <c:numCache>
                <c:formatCode>0.00%</c:formatCode>
                <c:ptCount val="4"/>
                <c:pt idx="0">
                  <c:v>0.29149445290406789</c:v>
                </c:pt>
                <c:pt idx="1">
                  <c:v>0.31965348209370048</c:v>
                </c:pt>
                <c:pt idx="2">
                  <c:v>0.3208478318034772</c:v>
                </c:pt>
                <c:pt idx="3">
                  <c:v>0.29046288342557658</c:v>
                </c:pt>
              </c:numCache>
            </c:numRef>
          </c:val>
          <c:extLst>
            <c:ext xmlns:c16="http://schemas.microsoft.com/office/drawing/2014/chart" uri="{C3380CC4-5D6E-409C-BE32-E72D297353CC}">
              <c16:uniqueId val="{00000006-98C5-4622-A896-D84F06D3A8B1}"/>
            </c:ext>
          </c:extLst>
        </c:ser>
        <c:dLbls>
          <c:showLegendKey val="0"/>
          <c:showVal val="0"/>
          <c:showCatName val="0"/>
          <c:showSerName val="0"/>
          <c:showPercent val="0"/>
          <c:showBubbleSize val="0"/>
        </c:dLbls>
        <c:gapWidth val="219"/>
        <c:overlap val="-27"/>
        <c:axId val="1443703343"/>
        <c:axId val="1443705263"/>
      </c:barChart>
      <c:catAx>
        <c:axId val="1443703343"/>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443705263"/>
        <c:crosses val="autoZero"/>
        <c:auto val="0"/>
        <c:lblAlgn val="ctr"/>
        <c:lblOffset val="100"/>
        <c:noMultiLvlLbl val="0"/>
      </c:catAx>
      <c:valAx>
        <c:axId val="1443705263"/>
        <c:scaling>
          <c:orientation val="minMax"/>
        </c:scaling>
        <c:delete val="1"/>
        <c:axPos val="l"/>
        <c:numFmt formatCode="0.00%" sourceLinked="1"/>
        <c:majorTickMark val="none"/>
        <c:minorTickMark val="none"/>
        <c:tickLblPos val="nextTo"/>
        <c:crossAx val="14437033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rgbClr val="002060"/>
            </a:solidFill>
            <a:ln>
              <a:noFill/>
            </a:ln>
            <a:effectLst/>
          </c:spPr>
          <c:invertIfNegative val="0"/>
          <c:dPt>
            <c:idx val="0"/>
            <c:invertIfNegative val="0"/>
            <c:bubble3D val="0"/>
            <c:spPr>
              <a:solidFill>
                <a:schemeClr val="bg2">
                  <a:lumMod val="90000"/>
                </a:schemeClr>
              </a:solidFill>
              <a:ln>
                <a:noFill/>
              </a:ln>
              <a:effectLst/>
            </c:spPr>
            <c:extLst>
              <c:ext xmlns:c16="http://schemas.microsoft.com/office/drawing/2014/chart" uri="{C3380CC4-5D6E-409C-BE32-E72D297353CC}">
                <c16:uniqueId val="{00000001-4DFD-4030-83E5-1629B1F3B652}"/>
              </c:ext>
            </c:extLst>
          </c:dPt>
          <c:dPt>
            <c:idx val="1"/>
            <c:invertIfNegative val="0"/>
            <c:bubble3D val="0"/>
            <c:spPr>
              <a:solidFill>
                <a:schemeClr val="bg2">
                  <a:lumMod val="75000"/>
                </a:schemeClr>
              </a:solidFill>
              <a:ln>
                <a:noFill/>
              </a:ln>
              <a:effectLst/>
            </c:spPr>
            <c:extLst>
              <c:ext xmlns:c16="http://schemas.microsoft.com/office/drawing/2014/chart" uri="{C3380CC4-5D6E-409C-BE32-E72D297353CC}">
                <c16:uniqueId val="{00000003-4DFD-4030-83E5-1629B1F3B652}"/>
              </c:ext>
            </c:extLst>
          </c:dPt>
          <c:dPt>
            <c:idx val="2"/>
            <c:invertIfNegative val="0"/>
            <c:bubble3D val="0"/>
            <c:spPr>
              <a:solidFill>
                <a:schemeClr val="bg2">
                  <a:lumMod val="50000"/>
                </a:schemeClr>
              </a:solidFill>
              <a:ln>
                <a:noFill/>
              </a:ln>
              <a:effectLst/>
            </c:spPr>
            <c:extLst>
              <c:ext xmlns:c16="http://schemas.microsoft.com/office/drawing/2014/chart" uri="{C3380CC4-5D6E-409C-BE32-E72D297353CC}">
                <c16:uniqueId val="{00000005-4DFD-4030-83E5-1629B1F3B652}"/>
              </c:ext>
            </c:extLst>
          </c:dPt>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'Dupont nalysis'!$F$89:$I$89</c:f>
              <c:numCache>
                <c:formatCode>[$-409]mmm\-yy;@</c:formatCode>
                <c:ptCount val="4"/>
                <c:pt idx="0">
                  <c:v>44651</c:v>
                </c:pt>
                <c:pt idx="1">
                  <c:v>45016</c:v>
                </c:pt>
                <c:pt idx="2">
                  <c:v>45382</c:v>
                </c:pt>
                <c:pt idx="3">
                  <c:v>45747</c:v>
                </c:pt>
              </c:numCache>
            </c:numRef>
          </c:cat>
          <c:val>
            <c:numRef>
              <c:f>'Dupont nalysis'!$F$98:$I$98</c:f>
              <c:numCache>
                <c:formatCode>0.00%</c:formatCode>
                <c:ptCount val="4"/>
                <c:pt idx="0">
                  <c:v>0.19719942918301819</c:v>
                </c:pt>
                <c:pt idx="1">
                  <c:v>0.19968921578783799</c:v>
                </c:pt>
                <c:pt idx="2">
                  <c:v>0.20028554413718336</c:v>
                </c:pt>
                <c:pt idx="3">
                  <c:v>0.18735775280110817</c:v>
                </c:pt>
              </c:numCache>
            </c:numRef>
          </c:val>
          <c:extLst>
            <c:ext xmlns:c16="http://schemas.microsoft.com/office/drawing/2014/chart" uri="{C3380CC4-5D6E-409C-BE32-E72D297353CC}">
              <c16:uniqueId val="{00000008-4DFD-4030-83E5-1629B1F3B652}"/>
            </c:ext>
          </c:extLst>
        </c:ser>
        <c:dLbls>
          <c:showLegendKey val="0"/>
          <c:showVal val="0"/>
          <c:showCatName val="0"/>
          <c:showSerName val="0"/>
          <c:showPercent val="0"/>
          <c:showBubbleSize val="0"/>
        </c:dLbls>
        <c:gapWidth val="219"/>
        <c:overlap val="-27"/>
        <c:axId val="1443703343"/>
        <c:axId val="1443705263"/>
      </c:barChart>
      <c:catAx>
        <c:axId val="1443703343"/>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443705263"/>
        <c:crosses val="autoZero"/>
        <c:auto val="0"/>
        <c:lblAlgn val="ctr"/>
        <c:lblOffset val="100"/>
        <c:noMultiLvlLbl val="0"/>
      </c:catAx>
      <c:valAx>
        <c:axId val="1443705263"/>
        <c:scaling>
          <c:orientation val="minMax"/>
        </c:scaling>
        <c:delete val="1"/>
        <c:axPos val="l"/>
        <c:numFmt formatCode="0.00%" sourceLinked="1"/>
        <c:majorTickMark val="none"/>
        <c:minorTickMark val="none"/>
        <c:tickLblPos val="nextTo"/>
        <c:crossAx val="14437033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rgbClr val="002060"/>
            </a:solidFill>
            <a:ln>
              <a:noFill/>
            </a:ln>
            <a:effectLst/>
          </c:spPr>
          <c:invertIfNegative val="0"/>
          <c:dPt>
            <c:idx val="0"/>
            <c:invertIfNegative val="0"/>
            <c:bubble3D val="0"/>
            <c:spPr>
              <a:solidFill>
                <a:schemeClr val="bg2">
                  <a:lumMod val="90000"/>
                </a:schemeClr>
              </a:solidFill>
              <a:ln>
                <a:noFill/>
              </a:ln>
              <a:effectLst/>
            </c:spPr>
            <c:extLst>
              <c:ext xmlns:c16="http://schemas.microsoft.com/office/drawing/2014/chart" uri="{C3380CC4-5D6E-409C-BE32-E72D297353CC}">
                <c16:uniqueId val="{00000001-B0E3-4D92-BD60-CAE18F8D5FA9}"/>
              </c:ext>
            </c:extLst>
          </c:dPt>
          <c:dPt>
            <c:idx val="1"/>
            <c:invertIfNegative val="0"/>
            <c:bubble3D val="0"/>
            <c:spPr>
              <a:solidFill>
                <a:schemeClr val="bg2">
                  <a:lumMod val="75000"/>
                </a:schemeClr>
              </a:solidFill>
              <a:ln>
                <a:noFill/>
              </a:ln>
              <a:effectLst/>
            </c:spPr>
            <c:extLst>
              <c:ext xmlns:c16="http://schemas.microsoft.com/office/drawing/2014/chart" uri="{C3380CC4-5D6E-409C-BE32-E72D297353CC}">
                <c16:uniqueId val="{00000003-B0E3-4D92-BD60-CAE18F8D5FA9}"/>
              </c:ext>
            </c:extLst>
          </c:dPt>
          <c:dPt>
            <c:idx val="2"/>
            <c:invertIfNegative val="0"/>
            <c:bubble3D val="0"/>
            <c:spPr>
              <a:solidFill>
                <a:schemeClr val="bg2">
                  <a:lumMod val="50000"/>
                </a:schemeClr>
              </a:solidFill>
              <a:ln>
                <a:noFill/>
              </a:ln>
              <a:effectLst/>
            </c:spPr>
            <c:extLst>
              <c:ext xmlns:c16="http://schemas.microsoft.com/office/drawing/2014/chart" uri="{C3380CC4-5D6E-409C-BE32-E72D297353CC}">
                <c16:uniqueId val="{00000005-B0E3-4D92-BD60-CAE18F8D5FA9}"/>
              </c:ext>
            </c:extLst>
          </c:dPt>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'Dupont nalysis'!$F$67:$I$67</c:f>
              <c:numCache>
                <c:formatCode>[$-409]mmm\-yy;@</c:formatCode>
                <c:ptCount val="4"/>
                <c:pt idx="0">
                  <c:v>44651</c:v>
                </c:pt>
                <c:pt idx="1">
                  <c:v>45016</c:v>
                </c:pt>
                <c:pt idx="2">
                  <c:v>45382</c:v>
                </c:pt>
                <c:pt idx="3">
                  <c:v>45747</c:v>
                </c:pt>
              </c:numCache>
            </c:numRef>
          </c:cat>
          <c:val>
            <c:numRef>
              <c:f>'Dupont nalysis'!$F$78:$I$78</c:f>
              <c:numCache>
                <c:formatCode>0.00\x</c:formatCode>
                <c:ptCount val="4"/>
                <c:pt idx="0">
                  <c:v>1.4781708756039842</c:v>
                </c:pt>
                <c:pt idx="1">
                  <c:v>1.6007548571542283</c:v>
                </c:pt>
                <c:pt idx="2">
                  <c:v>1.6019520189820393</c:v>
                </c:pt>
                <c:pt idx="3">
                  <c:v>1.5503115247860646</c:v>
                </c:pt>
              </c:numCache>
            </c:numRef>
          </c:val>
          <c:extLst>
            <c:ext xmlns:c16="http://schemas.microsoft.com/office/drawing/2014/chart" uri="{C3380CC4-5D6E-409C-BE32-E72D297353CC}">
              <c16:uniqueId val="{00000008-B0E3-4D92-BD60-CAE18F8D5FA9}"/>
            </c:ext>
          </c:extLst>
        </c:ser>
        <c:dLbls>
          <c:showLegendKey val="0"/>
          <c:showVal val="0"/>
          <c:showCatName val="0"/>
          <c:showSerName val="0"/>
          <c:showPercent val="0"/>
          <c:showBubbleSize val="0"/>
        </c:dLbls>
        <c:gapWidth val="219"/>
        <c:overlap val="-27"/>
        <c:axId val="1443703343"/>
        <c:axId val="1443705263"/>
      </c:barChart>
      <c:catAx>
        <c:axId val="1443703343"/>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443705263"/>
        <c:crosses val="autoZero"/>
        <c:auto val="0"/>
        <c:lblAlgn val="ctr"/>
        <c:lblOffset val="100"/>
        <c:noMultiLvlLbl val="0"/>
      </c:catAx>
      <c:valAx>
        <c:axId val="1443705263"/>
        <c:scaling>
          <c:orientation val="minMax"/>
        </c:scaling>
        <c:delete val="1"/>
        <c:axPos val="l"/>
        <c:numFmt formatCode="0.00\x" sourceLinked="1"/>
        <c:majorTickMark val="none"/>
        <c:minorTickMark val="none"/>
        <c:tickLblPos val="nextTo"/>
        <c:crossAx val="14437033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1821204733749922E-2"/>
          <c:y val="9.2359361880772456E-2"/>
          <c:w val="0.86151212859958337"/>
          <c:h val="0.71286089238845141"/>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bg2">
                  <a:lumMod val="90000"/>
                </a:schemeClr>
              </a:solidFill>
              <a:ln>
                <a:noFill/>
              </a:ln>
              <a:effectLst/>
            </c:spPr>
            <c:extLst>
              <c:ext xmlns:c16="http://schemas.microsoft.com/office/drawing/2014/chart" uri="{C3380CC4-5D6E-409C-BE32-E72D297353CC}">
                <c16:uniqueId val="{00000004-70E0-4297-86D8-E026D40DD89B}"/>
              </c:ext>
            </c:extLst>
          </c:dPt>
          <c:dPt>
            <c:idx val="1"/>
            <c:invertIfNegative val="0"/>
            <c:bubble3D val="0"/>
            <c:spPr>
              <a:solidFill>
                <a:schemeClr val="bg2">
                  <a:lumMod val="75000"/>
                </a:schemeClr>
              </a:solidFill>
              <a:ln>
                <a:noFill/>
              </a:ln>
              <a:effectLst/>
            </c:spPr>
            <c:extLst>
              <c:ext xmlns:c16="http://schemas.microsoft.com/office/drawing/2014/chart" uri="{C3380CC4-5D6E-409C-BE32-E72D297353CC}">
                <c16:uniqueId val="{00000003-70E0-4297-86D8-E026D40DD89B}"/>
              </c:ext>
            </c:extLst>
          </c:dPt>
          <c:dPt>
            <c:idx val="2"/>
            <c:invertIfNegative val="0"/>
            <c:bubble3D val="0"/>
            <c:spPr>
              <a:solidFill>
                <a:schemeClr val="bg2">
                  <a:lumMod val="50000"/>
                </a:schemeClr>
              </a:solidFill>
              <a:ln>
                <a:noFill/>
              </a:ln>
              <a:effectLst/>
            </c:spPr>
            <c:extLst>
              <c:ext xmlns:c16="http://schemas.microsoft.com/office/drawing/2014/chart" uri="{C3380CC4-5D6E-409C-BE32-E72D297353CC}">
                <c16:uniqueId val="{00000002-70E0-4297-86D8-E026D40DD89B}"/>
              </c:ext>
            </c:extLst>
          </c:dPt>
          <c:dPt>
            <c:idx val="3"/>
            <c:invertIfNegative val="0"/>
            <c:bubble3D val="0"/>
            <c:spPr>
              <a:solidFill>
                <a:srgbClr val="002060"/>
              </a:solidFill>
              <a:ln>
                <a:noFill/>
              </a:ln>
              <a:effectLst/>
            </c:spPr>
            <c:extLst>
              <c:ext xmlns:c16="http://schemas.microsoft.com/office/drawing/2014/chart" uri="{C3380CC4-5D6E-409C-BE32-E72D297353CC}">
                <c16:uniqueId val="{00000001-70E0-4297-86D8-E026D40DD89B}"/>
              </c:ext>
            </c:extLst>
          </c:dPt>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'Altman''s Z Score'!$E$55:$H$55</c:f>
              <c:numCache>
                <c:formatCode>mmm\-yy</c:formatCode>
                <c:ptCount val="4"/>
                <c:pt idx="0">
                  <c:v>44286</c:v>
                </c:pt>
                <c:pt idx="1">
                  <c:v>44651</c:v>
                </c:pt>
                <c:pt idx="2">
                  <c:v>45016</c:v>
                </c:pt>
                <c:pt idx="3">
                  <c:v>45382</c:v>
                </c:pt>
              </c:numCache>
            </c:numRef>
          </c:cat>
          <c:val>
            <c:numRef>
              <c:f>'Altman''s Z Score'!$E$56:$H$56</c:f>
              <c:numCache>
                <c:formatCode>#,##0.0</c:formatCode>
                <c:ptCount val="4"/>
                <c:pt idx="0">
                  <c:v>41044</c:v>
                </c:pt>
                <c:pt idx="1">
                  <c:v>34284</c:v>
                </c:pt>
                <c:pt idx="2">
                  <c:v>34715</c:v>
                </c:pt>
                <c:pt idx="3">
                  <c:v>43937</c:v>
                </c:pt>
              </c:numCache>
            </c:numRef>
          </c:val>
          <c:extLst>
            <c:ext xmlns:c16="http://schemas.microsoft.com/office/drawing/2014/chart" uri="{C3380CC4-5D6E-409C-BE32-E72D297353CC}">
              <c16:uniqueId val="{00000000-70E0-4297-86D8-E026D40DD89B}"/>
            </c:ext>
          </c:extLst>
        </c:ser>
        <c:dLbls>
          <c:dLblPos val="outEnd"/>
          <c:showLegendKey val="0"/>
          <c:showVal val="1"/>
          <c:showCatName val="0"/>
          <c:showSerName val="0"/>
          <c:showPercent val="0"/>
          <c:showBubbleSize val="0"/>
        </c:dLbls>
        <c:gapWidth val="219"/>
        <c:overlap val="-27"/>
        <c:axId val="666690223"/>
        <c:axId val="666691183"/>
      </c:barChart>
      <c:dateAx>
        <c:axId val="666690223"/>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6691183"/>
        <c:crosses val="autoZero"/>
        <c:auto val="1"/>
        <c:lblOffset val="100"/>
        <c:baseTimeUnit val="years"/>
      </c:dateAx>
      <c:valAx>
        <c:axId val="666691183"/>
        <c:scaling>
          <c:orientation val="minMax"/>
        </c:scaling>
        <c:delete val="1"/>
        <c:axPos val="l"/>
        <c:numFmt formatCode="#,##0.0" sourceLinked="1"/>
        <c:majorTickMark val="none"/>
        <c:minorTickMark val="none"/>
        <c:tickLblPos val="nextTo"/>
        <c:crossAx val="666690223"/>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3509350935093508E-2"/>
          <c:y val="8.8353413654618476E-2"/>
          <c:w val="0.84598459845984597"/>
          <c:h val="0.72531511874268728"/>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bg2">
                  <a:lumMod val="90000"/>
                </a:schemeClr>
              </a:solidFill>
              <a:ln>
                <a:noFill/>
              </a:ln>
              <a:effectLst/>
            </c:spPr>
            <c:extLst>
              <c:ext xmlns:c16="http://schemas.microsoft.com/office/drawing/2014/chart" uri="{C3380CC4-5D6E-409C-BE32-E72D297353CC}">
                <c16:uniqueId val="{00000004-772E-4C5D-BCED-F0A2A9E1E9AD}"/>
              </c:ext>
            </c:extLst>
          </c:dPt>
          <c:dPt>
            <c:idx val="1"/>
            <c:invertIfNegative val="0"/>
            <c:bubble3D val="0"/>
            <c:spPr>
              <a:solidFill>
                <a:schemeClr val="bg2">
                  <a:lumMod val="75000"/>
                </a:schemeClr>
              </a:solidFill>
              <a:ln>
                <a:noFill/>
              </a:ln>
              <a:effectLst/>
            </c:spPr>
            <c:extLst>
              <c:ext xmlns:c16="http://schemas.microsoft.com/office/drawing/2014/chart" uri="{C3380CC4-5D6E-409C-BE32-E72D297353CC}">
                <c16:uniqueId val="{00000003-772E-4C5D-BCED-F0A2A9E1E9AD}"/>
              </c:ext>
            </c:extLst>
          </c:dPt>
          <c:dPt>
            <c:idx val="2"/>
            <c:invertIfNegative val="0"/>
            <c:bubble3D val="0"/>
            <c:spPr>
              <a:solidFill>
                <a:schemeClr val="bg2">
                  <a:lumMod val="50000"/>
                </a:schemeClr>
              </a:solidFill>
              <a:ln>
                <a:noFill/>
              </a:ln>
              <a:effectLst/>
            </c:spPr>
            <c:extLst>
              <c:ext xmlns:c16="http://schemas.microsoft.com/office/drawing/2014/chart" uri="{C3380CC4-5D6E-409C-BE32-E72D297353CC}">
                <c16:uniqueId val="{00000002-772E-4C5D-BCED-F0A2A9E1E9AD}"/>
              </c:ext>
            </c:extLst>
          </c:dPt>
          <c:dPt>
            <c:idx val="3"/>
            <c:invertIfNegative val="0"/>
            <c:bubble3D val="0"/>
            <c:spPr>
              <a:solidFill>
                <a:srgbClr val="002060"/>
              </a:solidFill>
              <a:ln>
                <a:noFill/>
              </a:ln>
              <a:effectLst/>
            </c:spPr>
            <c:extLst>
              <c:ext xmlns:c16="http://schemas.microsoft.com/office/drawing/2014/chart" uri="{C3380CC4-5D6E-409C-BE32-E72D297353CC}">
                <c16:uniqueId val="{00000001-772E-4C5D-BCED-F0A2A9E1E9AD}"/>
              </c:ext>
            </c:extLst>
          </c:dPt>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'Altman''s Z Score'!$F$55:$I$55</c:f>
              <c:numCache>
                <c:formatCode>mmm\-yy</c:formatCode>
                <c:ptCount val="4"/>
                <c:pt idx="0">
                  <c:v>44651</c:v>
                </c:pt>
                <c:pt idx="1">
                  <c:v>45016</c:v>
                </c:pt>
                <c:pt idx="2">
                  <c:v>45382</c:v>
                </c:pt>
                <c:pt idx="3">
                  <c:v>45747</c:v>
                </c:pt>
              </c:numCache>
            </c:numRef>
          </c:cat>
          <c:val>
            <c:numRef>
              <c:f>'Altman''s Z Score'!$F$57:$I$57</c:f>
              <c:numCache>
                <c:formatCode>#,##0.0</c:formatCode>
                <c:ptCount val="4"/>
                <c:pt idx="0">
                  <c:v>116729</c:v>
                </c:pt>
                <c:pt idx="1">
                  <c:v>124596</c:v>
                </c:pt>
                <c:pt idx="2">
                  <c:v>137360</c:v>
                </c:pt>
                <c:pt idx="3">
                  <c:v>147795</c:v>
                </c:pt>
              </c:numCache>
            </c:numRef>
          </c:val>
          <c:extLst>
            <c:ext xmlns:c16="http://schemas.microsoft.com/office/drawing/2014/chart" uri="{C3380CC4-5D6E-409C-BE32-E72D297353CC}">
              <c16:uniqueId val="{00000000-772E-4C5D-BCED-F0A2A9E1E9AD}"/>
            </c:ext>
          </c:extLst>
        </c:ser>
        <c:dLbls>
          <c:showLegendKey val="0"/>
          <c:showVal val="0"/>
          <c:showCatName val="0"/>
          <c:showSerName val="0"/>
          <c:showPercent val="0"/>
          <c:showBubbleSize val="0"/>
        </c:dLbls>
        <c:gapWidth val="219"/>
        <c:overlap val="-27"/>
        <c:axId val="654714463"/>
        <c:axId val="654715423"/>
      </c:barChart>
      <c:dateAx>
        <c:axId val="654714463"/>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4715423"/>
        <c:crosses val="autoZero"/>
        <c:auto val="1"/>
        <c:lblOffset val="100"/>
        <c:baseTimeUnit val="years"/>
      </c:dateAx>
      <c:valAx>
        <c:axId val="654715423"/>
        <c:scaling>
          <c:orientation val="minMax"/>
        </c:scaling>
        <c:delete val="1"/>
        <c:axPos val="l"/>
        <c:numFmt formatCode="#,##0.0" sourceLinked="1"/>
        <c:majorTickMark val="none"/>
        <c:minorTickMark val="none"/>
        <c:tickLblPos val="nextTo"/>
        <c:crossAx val="654714463"/>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2698412698412698"/>
          <c:y val="8.6274509803921567E-2"/>
          <c:w val="0.81481481481481477"/>
          <c:h val="0.731778292419329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bg2">
                  <a:lumMod val="90000"/>
                </a:schemeClr>
              </a:solidFill>
              <a:ln>
                <a:noFill/>
              </a:ln>
              <a:effectLst/>
            </c:spPr>
            <c:extLst>
              <c:ext xmlns:c16="http://schemas.microsoft.com/office/drawing/2014/chart" uri="{C3380CC4-5D6E-409C-BE32-E72D297353CC}">
                <c16:uniqueId val="{00000004-A1B5-4C0D-9992-CA3F255B3736}"/>
              </c:ext>
            </c:extLst>
          </c:dPt>
          <c:dPt>
            <c:idx val="1"/>
            <c:invertIfNegative val="0"/>
            <c:bubble3D val="0"/>
            <c:spPr>
              <a:solidFill>
                <a:schemeClr val="bg2">
                  <a:lumMod val="75000"/>
                </a:schemeClr>
              </a:solidFill>
              <a:ln>
                <a:noFill/>
              </a:ln>
              <a:effectLst/>
            </c:spPr>
            <c:extLst>
              <c:ext xmlns:c16="http://schemas.microsoft.com/office/drawing/2014/chart" uri="{C3380CC4-5D6E-409C-BE32-E72D297353CC}">
                <c16:uniqueId val="{00000003-A1B5-4C0D-9992-CA3F255B3736}"/>
              </c:ext>
            </c:extLst>
          </c:dPt>
          <c:dPt>
            <c:idx val="2"/>
            <c:invertIfNegative val="0"/>
            <c:bubble3D val="0"/>
            <c:spPr>
              <a:solidFill>
                <a:schemeClr val="bg2">
                  <a:lumMod val="50000"/>
                </a:schemeClr>
              </a:solidFill>
              <a:ln>
                <a:noFill/>
              </a:ln>
              <a:effectLst/>
            </c:spPr>
            <c:extLst>
              <c:ext xmlns:c16="http://schemas.microsoft.com/office/drawing/2014/chart" uri="{C3380CC4-5D6E-409C-BE32-E72D297353CC}">
                <c16:uniqueId val="{00000002-A1B5-4C0D-9992-CA3F255B3736}"/>
              </c:ext>
            </c:extLst>
          </c:dPt>
          <c:dPt>
            <c:idx val="3"/>
            <c:invertIfNegative val="0"/>
            <c:bubble3D val="0"/>
            <c:spPr>
              <a:solidFill>
                <a:srgbClr val="002060"/>
              </a:solidFill>
              <a:ln>
                <a:noFill/>
              </a:ln>
              <a:effectLst/>
            </c:spPr>
            <c:extLst>
              <c:ext xmlns:c16="http://schemas.microsoft.com/office/drawing/2014/chart" uri="{C3380CC4-5D6E-409C-BE32-E72D297353CC}">
                <c16:uniqueId val="{00000001-A1B5-4C0D-9992-CA3F255B3736}"/>
              </c:ext>
            </c:extLst>
          </c:dPt>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'Altman''s Z Score'!$F$61:$I$61</c:f>
              <c:numCache>
                <c:formatCode>mmm\-yy</c:formatCode>
                <c:ptCount val="4"/>
                <c:pt idx="0">
                  <c:v>44651</c:v>
                </c:pt>
                <c:pt idx="1">
                  <c:v>45016</c:v>
                </c:pt>
                <c:pt idx="2">
                  <c:v>45382</c:v>
                </c:pt>
                <c:pt idx="3">
                  <c:v>45747</c:v>
                </c:pt>
              </c:numCache>
            </c:numRef>
          </c:cat>
          <c:val>
            <c:numRef>
              <c:f>'Altman''s Z Score'!$F$67:$I$67</c:f>
              <c:numCache>
                <c:formatCode>#,##0.0</c:formatCode>
                <c:ptCount val="4"/>
                <c:pt idx="0">
                  <c:v>28015</c:v>
                </c:pt>
                <c:pt idx="1">
                  <c:v>30905</c:v>
                </c:pt>
                <c:pt idx="2">
                  <c:v>31747</c:v>
                </c:pt>
                <c:pt idx="3">
                  <c:v>34424</c:v>
                </c:pt>
              </c:numCache>
            </c:numRef>
          </c:val>
          <c:extLst>
            <c:ext xmlns:c16="http://schemas.microsoft.com/office/drawing/2014/chart" uri="{C3380CC4-5D6E-409C-BE32-E72D297353CC}">
              <c16:uniqueId val="{00000000-A1B5-4C0D-9992-CA3F255B3736}"/>
            </c:ext>
          </c:extLst>
        </c:ser>
        <c:dLbls>
          <c:dLblPos val="outEnd"/>
          <c:showLegendKey val="0"/>
          <c:showVal val="1"/>
          <c:showCatName val="0"/>
          <c:showSerName val="0"/>
          <c:showPercent val="0"/>
          <c:showBubbleSize val="0"/>
        </c:dLbls>
        <c:gapWidth val="219"/>
        <c:overlap val="-27"/>
        <c:axId val="778865631"/>
        <c:axId val="778867551"/>
      </c:barChart>
      <c:dateAx>
        <c:axId val="778865631"/>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8867551"/>
        <c:crosses val="autoZero"/>
        <c:auto val="1"/>
        <c:lblOffset val="100"/>
        <c:baseTimeUnit val="years"/>
      </c:dateAx>
      <c:valAx>
        <c:axId val="778867551"/>
        <c:scaling>
          <c:orientation val="minMax"/>
        </c:scaling>
        <c:delete val="1"/>
        <c:axPos val="l"/>
        <c:numFmt formatCode="#,##0.0" sourceLinked="1"/>
        <c:majorTickMark val="none"/>
        <c:minorTickMark val="none"/>
        <c:tickLblPos val="nextTo"/>
        <c:crossAx val="778865631"/>
        <c:crosses val="autoZero"/>
        <c:crossBetween val="between"/>
      </c:valAx>
      <c:spPr>
        <a:noFill/>
        <a:ln w="25400">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3751375137513752"/>
          <c:y val="8.2212257100149483E-2"/>
          <c:w val="0.80198019801980203"/>
          <c:h val="0.74440756564622246"/>
        </c:manualLayout>
      </c:layout>
      <c:barChart>
        <c:barDir val="col"/>
        <c:grouping val="clustered"/>
        <c:varyColors val="0"/>
        <c:ser>
          <c:idx val="0"/>
          <c:order val="0"/>
          <c:spPr>
            <a:solidFill>
              <a:schemeClr val="bg2">
                <a:lumMod val="50000"/>
              </a:schemeClr>
            </a:solidFill>
            <a:ln>
              <a:noFill/>
            </a:ln>
            <a:effectLst/>
          </c:spPr>
          <c:invertIfNegative val="0"/>
          <c:dPt>
            <c:idx val="0"/>
            <c:invertIfNegative val="0"/>
            <c:bubble3D val="0"/>
            <c:spPr>
              <a:solidFill>
                <a:schemeClr val="bg2">
                  <a:lumMod val="90000"/>
                </a:schemeClr>
              </a:solidFill>
              <a:ln>
                <a:noFill/>
              </a:ln>
              <a:effectLst/>
            </c:spPr>
            <c:extLst>
              <c:ext xmlns:c16="http://schemas.microsoft.com/office/drawing/2014/chart" uri="{C3380CC4-5D6E-409C-BE32-E72D297353CC}">
                <c16:uniqueId val="{00000003-8650-407A-AC97-CC0989E8F2A8}"/>
              </c:ext>
            </c:extLst>
          </c:dPt>
          <c:dPt>
            <c:idx val="1"/>
            <c:invertIfNegative val="0"/>
            <c:bubble3D val="0"/>
            <c:spPr>
              <a:solidFill>
                <a:schemeClr val="bg2">
                  <a:lumMod val="75000"/>
                </a:schemeClr>
              </a:solidFill>
              <a:ln>
                <a:noFill/>
              </a:ln>
              <a:effectLst/>
            </c:spPr>
            <c:extLst>
              <c:ext xmlns:c16="http://schemas.microsoft.com/office/drawing/2014/chart" uri="{C3380CC4-5D6E-409C-BE32-E72D297353CC}">
                <c16:uniqueId val="{00000002-8650-407A-AC97-CC0989E8F2A8}"/>
              </c:ext>
            </c:extLst>
          </c:dPt>
          <c:dPt>
            <c:idx val="3"/>
            <c:invertIfNegative val="0"/>
            <c:bubble3D val="0"/>
            <c:spPr>
              <a:solidFill>
                <a:srgbClr val="002060"/>
              </a:solidFill>
              <a:ln>
                <a:noFill/>
              </a:ln>
              <a:effectLst/>
            </c:spPr>
            <c:extLst>
              <c:ext xmlns:c16="http://schemas.microsoft.com/office/drawing/2014/chart" uri="{C3380CC4-5D6E-409C-BE32-E72D297353CC}">
                <c16:uniqueId val="{00000001-8650-407A-AC97-CC0989E8F2A8}"/>
              </c:ext>
            </c:extLst>
          </c:dPt>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'Altman''s Z Score'!$F$61:$I$61</c:f>
              <c:numCache>
                <c:formatCode>mmm\-yy</c:formatCode>
                <c:ptCount val="4"/>
                <c:pt idx="0">
                  <c:v>44651</c:v>
                </c:pt>
                <c:pt idx="1">
                  <c:v>45016</c:v>
                </c:pt>
                <c:pt idx="2">
                  <c:v>45382</c:v>
                </c:pt>
                <c:pt idx="3">
                  <c:v>45747</c:v>
                </c:pt>
              </c:numCache>
            </c:numRef>
          </c:cat>
          <c:val>
            <c:numRef>
              <c:f>'Altman''s Z Score'!$F$72:$I$72</c:f>
              <c:numCache>
                <c:formatCode>#,##0.0</c:formatCode>
                <c:ptCount val="4"/>
                <c:pt idx="0">
                  <c:v>799544.670366365</c:v>
                </c:pt>
                <c:pt idx="1">
                  <c:v>590655.51375037502</c:v>
                </c:pt>
                <c:pt idx="2">
                  <c:v>620185.30487617501</c:v>
                </c:pt>
                <c:pt idx="3">
                  <c:v>650815.71638532006</c:v>
                </c:pt>
              </c:numCache>
            </c:numRef>
          </c:val>
          <c:extLst>
            <c:ext xmlns:c16="http://schemas.microsoft.com/office/drawing/2014/chart" uri="{C3380CC4-5D6E-409C-BE32-E72D297353CC}">
              <c16:uniqueId val="{00000000-8650-407A-AC97-CC0989E8F2A8}"/>
            </c:ext>
          </c:extLst>
        </c:ser>
        <c:dLbls>
          <c:showLegendKey val="0"/>
          <c:showVal val="0"/>
          <c:showCatName val="0"/>
          <c:showSerName val="0"/>
          <c:showPercent val="0"/>
          <c:showBubbleSize val="0"/>
        </c:dLbls>
        <c:gapWidth val="219"/>
        <c:overlap val="-27"/>
        <c:axId val="724196511"/>
        <c:axId val="721004559"/>
      </c:barChart>
      <c:dateAx>
        <c:axId val="724196511"/>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1004559"/>
        <c:crosses val="autoZero"/>
        <c:auto val="1"/>
        <c:lblOffset val="100"/>
        <c:baseTimeUnit val="years"/>
      </c:dateAx>
      <c:valAx>
        <c:axId val="721004559"/>
        <c:scaling>
          <c:orientation val="minMax"/>
        </c:scaling>
        <c:delete val="1"/>
        <c:axPos val="l"/>
        <c:numFmt formatCode="#,##0.0" sourceLinked="1"/>
        <c:majorTickMark val="none"/>
        <c:minorTickMark val="none"/>
        <c:tickLblPos val="nextTo"/>
        <c:crossAx val="724196511"/>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507829977628636E-2"/>
          <c:y val="8.3523158694001523E-2"/>
          <c:w val="0.84340044742729303"/>
          <c:h val="0.74033205985926021"/>
        </c:manualLayout>
      </c:layout>
      <c:barChart>
        <c:barDir val="col"/>
        <c:grouping val="clustered"/>
        <c:varyColors val="0"/>
        <c:ser>
          <c:idx val="0"/>
          <c:order val="0"/>
          <c:spPr>
            <a:solidFill>
              <a:schemeClr val="bg2">
                <a:lumMod val="50000"/>
              </a:schemeClr>
            </a:solidFill>
            <a:ln>
              <a:noFill/>
            </a:ln>
            <a:effectLst/>
          </c:spPr>
          <c:invertIfNegative val="0"/>
          <c:dPt>
            <c:idx val="0"/>
            <c:invertIfNegative val="0"/>
            <c:bubble3D val="0"/>
            <c:spPr>
              <a:solidFill>
                <a:schemeClr val="bg2">
                  <a:lumMod val="90000"/>
                </a:schemeClr>
              </a:solidFill>
              <a:ln>
                <a:noFill/>
              </a:ln>
              <a:effectLst/>
            </c:spPr>
            <c:extLst>
              <c:ext xmlns:c16="http://schemas.microsoft.com/office/drawing/2014/chart" uri="{C3380CC4-5D6E-409C-BE32-E72D297353CC}">
                <c16:uniqueId val="{00000003-5613-49E4-A12C-7BDFBCACF4DF}"/>
              </c:ext>
            </c:extLst>
          </c:dPt>
          <c:dPt>
            <c:idx val="1"/>
            <c:invertIfNegative val="0"/>
            <c:bubble3D val="0"/>
            <c:spPr>
              <a:solidFill>
                <a:schemeClr val="bg2">
                  <a:lumMod val="75000"/>
                </a:schemeClr>
              </a:solidFill>
              <a:ln>
                <a:noFill/>
              </a:ln>
              <a:effectLst/>
            </c:spPr>
            <c:extLst>
              <c:ext xmlns:c16="http://schemas.microsoft.com/office/drawing/2014/chart" uri="{C3380CC4-5D6E-409C-BE32-E72D297353CC}">
                <c16:uniqueId val="{00000002-5613-49E4-A12C-7BDFBCACF4DF}"/>
              </c:ext>
            </c:extLst>
          </c:dPt>
          <c:dPt>
            <c:idx val="3"/>
            <c:invertIfNegative val="0"/>
            <c:bubble3D val="0"/>
            <c:spPr>
              <a:solidFill>
                <a:srgbClr val="002060"/>
              </a:solidFill>
              <a:ln>
                <a:noFill/>
              </a:ln>
              <a:effectLst/>
            </c:spPr>
            <c:extLst>
              <c:ext xmlns:c16="http://schemas.microsoft.com/office/drawing/2014/chart" uri="{C3380CC4-5D6E-409C-BE32-E72D297353CC}">
                <c16:uniqueId val="{00000001-5613-49E4-A12C-7BDFBCACF4DF}"/>
              </c:ext>
            </c:extLst>
          </c:dPt>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'Altman''s Z Score'!$F$77:$I$77</c:f>
              <c:numCache>
                <c:formatCode>mmm\-yy</c:formatCode>
                <c:ptCount val="4"/>
                <c:pt idx="0">
                  <c:v>44651</c:v>
                </c:pt>
                <c:pt idx="1">
                  <c:v>45016</c:v>
                </c:pt>
                <c:pt idx="2">
                  <c:v>45382</c:v>
                </c:pt>
                <c:pt idx="3">
                  <c:v>45747</c:v>
                </c:pt>
              </c:numCache>
            </c:numRef>
          </c:cat>
          <c:val>
            <c:numRef>
              <c:f>'Altman''s Z Score'!$F$78:$I$78</c:f>
              <c:numCache>
                <c:formatCode>#,##0.0</c:formatCode>
                <c:ptCount val="4"/>
                <c:pt idx="0">
                  <c:v>121641</c:v>
                </c:pt>
                <c:pt idx="1">
                  <c:v>146767</c:v>
                </c:pt>
                <c:pt idx="2">
                  <c:v>153670</c:v>
                </c:pt>
                <c:pt idx="3">
                  <c:v>162990</c:v>
                </c:pt>
              </c:numCache>
            </c:numRef>
          </c:val>
          <c:extLst>
            <c:ext xmlns:c16="http://schemas.microsoft.com/office/drawing/2014/chart" uri="{C3380CC4-5D6E-409C-BE32-E72D297353CC}">
              <c16:uniqueId val="{00000000-5613-49E4-A12C-7BDFBCACF4DF}"/>
            </c:ext>
          </c:extLst>
        </c:ser>
        <c:dLbls>
          <c:dLblPos val="outEnd"/>
          <c:showLegendKey val="0"/>
          <c:showVal val="1"/>
          <c:showCatName val="0"/>
          <c:showSerName val="0"/>
          <c:showPercent val="0"/>
          <c:showBubbleSize val="0"/>
        </c:dLbls>
        <c:gapWidth val="219"/>
        <c:overlap val="-27"/>
        <c:axId val="883562655"/>
        <c:axId val="883565055"/>
      </c:barChart>
      <c:dateAx>
        <c:axId val="883562655"/>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3565055"/>
        <c:crosses val="autoZero"/>
        <c:auto val="1"/>
        <c:lblOffset val="100"/>
        <c:baseTimeUnit val="years"/>
      </c:dateAx>
      <c:valAx>
        <c:axId val="883565055"/>
        <c:scaling>
          <c:orientation val="minMax"/>
        </c:scaling>
        <c:delete val="1"/>
        <c:axPos val="l"/>
        <c:numFmt formatCode="#,##0.0" sourceLinked="1"/>
        <c:majorTickMark val="none"/>
        <c:minorTickMark val="none"/>
        <c:tickLblPos val="nextTo"/>
        <c:crossAx val="883562655"/>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866235167206041"/>
          <c:y val="8.2768999247554556E-2"/>
          <c:w val="0.82200647249190939"/>
          <c:h val="0.74267669137294634"/>
        </c:manualLayout>
      </c:layout>
      <c:barChart>
        <c:barDir val="col"/>
        <c:grouping val="clustered"/>
        <c:varyColors val="0"/>
        <c:ser>
          <c:idx val="0"/>
          <c:order val="0"/>
          <c:spPr>
            <a:solidFill>
              <a:schemeClr val="bg2">
                <a:lumMod val="50000"/>
              </a:schemeClr>
            </a:solidFill>
            <a:ln>
              <a:noFill/>
            </a:ln>
            <a:effectLst/>
          </c:spPr>
          <c:invertIfNegative val="0"/>
          <c:dPt>
            <c:idx val="0"/>
            <c:invertIfNegative val="0"/>
            <c:bubble3D val="0"/>
            <c:spPr>
              <a:solidFill>
                <a:schemeClr val="bg2">
                  <a:lumMod val="90000"/>
                  <a:alpha val="92000"/>
                </a:schemeClr>
              </a:solidFill>
              <a:ln>
                <a:noFill/>
              </a:ln>
              <a:effectLst/>
            </c:spPr>
            <c:extLst>
              <c:ext xmlns:c16="http://schemas.microsoft.com/office/drawing/2014/chart" uri="{C3380CC4-5D6E-409C-BE32-E72D297353CC}">
                <c16:uniqueId val="{00000003-EFC0-43CC-A8C8-5999B425AC81}"/>
              </c:ext>
            </c:extLst>
          </c:dPt>
          <c:dPt>
            <c:idx val="1"/>
            <c:invertIfNegative val="0"/>
            <c:bubble3D val="0"/>
            <c:spPr>
              <a:solidFill>
                <a:schemeClr val="bg2">
                  <a:lumMod val="75000"/>
                </a:schemeClr>
              </a:solidFill>
              <a:ln>
                <a:noFill/>
              </a:ln>
              <a:effectLst/>
            </c:spPr>
            <c:extLst>
              <c:ext xmlns:c16="http://schemas.microsoft.com/office/drawing/2014/chart" uri="{C3380CC4-5D6E-409C-BE32-E72D297353CC}">
                <c16:uniqueId val="{00000002-EFC0-43CC-A8C8-5999B425AC81}"/>
              </c:ext>
            </c:extLst>
          </c:dPt>
          <c:dPt>
            <c:idx val="3"/>
            <c:invertIfNegative val="0"/>
            <c:bubble3D val="0"/>
            <c:spPr>
              <a:solidFill>
                <a:srgbClr val="002060"/>
              </a:solidFill>
              <a:ln>
                <a:noFill/>
              </a:ln>
              <a:effectLst/>
            </c:spPr>
            <c:extLst>
              <c:ext xmlns:c16="http://schemas.microsoft.com/office/drawing/2014/chart" uri="{C3380CC4-5D6E-409C-BE32-E72D297353CC}">
                <c16:uniqueId val="{00000001-EFC0-43CC-A8C8-5999B425AC8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'Altman''s Z Score'!$F$83:$I$83</c:f>
              <c:numCache>
                <c:formatCode>mmm\-yy</c:formatCode>
                <c:ptCount val="4"/>
                <c:pt idx="0">
                  <c:v>44651</c:v>
                </c:pt>
                <c:pt idx="1">
                  <c:v>45016</c:v>
                </c:pt>
                <c:pt idx="2">
                  <c:v>45382</c:v>
                </c:pt>
                <c:pt idx="3">
                  <c:v>45747</c:v>
                </c:pt>
              </c:numCache>
            </c:numRef>
          </c:cat>
          <c:val>
            <c:numRef>
              <c:f>'Altman''s Z Score'!$F$84:$I$84</c:f>
              <c:numCache>
                <c:formatCode>0.0</c:formatCode>
                <c:ptCount val="4"/>
                <c:pt idx="0">
                  <c:v>92.551677842987175</c:v>
                </c:pt>
                <c:pt idx="1">
                  <c:v>51.537194399106703</c:v>
                </c:pt>
                <c:pt idx="2">
                  <c:v>50.973909324254876</c:v>
                </c:pt>
                <c:pt idx="3">
                  <c:v>53.558942401477232</c:v>
                </c:pt>
              </c:numCache>
            </c:numRef>
          </c:val>
          <c:extLst>
            <c:ext xmlns:c16="http://schemas.microsoft.com/office/drawing/2014/chart" uri="{C3380CC4-5D6E-409C-BE32-E72D297353CC}">
              <c16:uniqueId val="{00000000-EFC0-43CC-A8C8-5999B425AC81}"/>
            </c:ext>
          </c:extLst>
        </c:ser>
        <c:dLbls>
          <c:dLblPos val="outEnd"/>
          <c:showLegendKey val="0"/>
          <c:showVal val="1"/>
          <c:showCatName val="0"/>
          <c:showSerName val="0"/>
          <c:showPercent val="0"/>
          <c:showBubbleSize val="0"/>
        </c:dLbls>
        <c:gapWidth val="219"/>
        <c:overlap val="-27"/>
        <c:axId val="862975471"/>
        <c:axId val="862975951"/>
      </c:barChart>
      <c:dateAx>
        <c:axId val="862975471"/>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2975951"/>
        <c:crosses val="autoZero"/>
        <c:auto val="1"/>
        <c:lblOffset val="100"/>
        <c:baseTimeUnit val="years"/>
      </c:dateAx>
      <c:valAx>
        <c:axId val="862975951"/>
        <c:scaling>
          <c:orientation val="minMax"/>
        </c:scaling>
        <c:delete val="1"/>
        <c:axPos val="l"/>
        <c:numFmt formatCode="0.0" sourceLinked="1"/>
        <c:majorTickMark val="none"/>
        <c:minorTickMark val="none"/>
        <c:tickLblPos val="nextTo"/>
        <c:crossAx val="862975471"/>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chart" Target="../charts/chart1.xml"/><Relationship Id="rId1" Type="http://schemas.openxmlformats.org/officeDocument/2006/relationships/image" Target="../media/image2.pn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7" Type="http://schemas.openxmlformats.org/officeDocument/2006/relationships/chart" Target="../charts/chart12.xml"/><Relationship Id="rId2" Type="http://schemas.openxmlformats.org/officeDocument/2006/relationships/chart" Target="../charts/chart7.xml"/><Relationship Id="rId1" Type="http://schemas.openxmlformats.org/officeDocument/2006/relationships/image" Target="../media/image2.png"/><Relationship Id="rId6" Type="http://schemas.openxmlformats.org/officeDocument/2006/relationships/chart" Target="../charts/chart11.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editAs="oneCell">
    <xdr:from>
      <xdr:col>5</xdr:col>
      <xdr:colOff>438704</xdr:colOff>
      <xdr:row>1</xdr:row>
      <xdr:rowOff>139700</xdr:rowOff>
    </xdr:from>
    <xdr:to>
      <xdr:col>8</xdr:col>
      <xdr:colOff>12700</xdr:colOff>
      <xdr:row>4</xdr:row>
      <xdr:rowOff>213580</xdr:rowOff>
    </xdr:to>
    <xdr:pic>
      <xdr:nvPicPr>
        <xdr:cNvPr id="2" name="Picture 1" descr="Infosys Logo">
          <a:extLst>
            <a:ext uri="{FF2B5EF4-FFF2-40B4-BE49-F238E27FC236}">
              <a16:creationId xmlns:a16="http://schemas.microsoft.com/office/drawing/2014/main" id="{31F45733-DB52-60D2-2ED8-F3F37AEB61A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896654" y="320675"/>
          <a:ext cx="1402796" cy="797780"/>
        </a:xfrm>
        <a:prstGeom prst="rect">
          <a:avLst/>
        </a:prstGeom>
        <a:noFill/>
        <a:ln>
          <a:noFill/>
        </a:ln>
      </xdr:spPr>
    </xdr:pic>
    <xdr:clientData/>
  </xdr:twoCellAnchor>
  <xdr:twoCellAnchor>
    <xdr:from>
      <xdr:col>1</xdr:col>
      <xdr:colOff>166991</xdr:colOff>
      <xdr:row>15</xdr:row>
      <xdr:rowOff>2</xdr:rowOff>
    </xdr:from>
    <xdr:to>
      <xdr:col>1</xdr:col>
      <xdr:colOff>2635871</xdr:colOff>
      <xdr:row>27</xdr:row>
      <xdr:rowOff>76200</xdr:rowOff>
    </xdr:to>
    <xdr:grpSp>
      <xdr:nvGrpSpPr>
        <xdr:cNvPr id="10" name="Group 9">
          <a:extLst>
            <a:ext uri="{FF2B5EF4-FFF2-40B4-BE49-F238E27FC236}">
              <a16:creationId xmlns:a16="http://schemas.microsoft.com/office/drawing/2014/main" id="{6306C123-6E23-7878-BA08-D239C36E201B}"/>
            </a:ext>
          </a:extLst>
        </xdr:cNvPr>
        <xdr:cNvGrpSpPr/>
      </xdr:nvGrpSpPr>
      <xdr:grpSpPr>
        <a:xfrm>
          <a:off x="300341" y="2781302"/>
          <a:ext cx="2468880" cy="2247898"/>
          <a:chOff x="43166" y="2523069"/>
          <a:chExt cx="2175098" cy="2311398"/>
        </a:xfrm>
        <a:solidFill>
          <a:schemeClr val="bg1"/>
        </a:solidFill>
      </xdr:grpSpPr>
      <xdr:graphicFrame macro="">
        <xdr:nvGraphicFramePr>
          <xdr:cNvPr id="3" name="Chart 2">
            <a:extLst>
              <a:ext uri="{FF2B5EF4-FFF2-40B4-BE49-F238E27FC236}">
                <a16:creationId xmlns:a16="http://schemas.microsoft.com/office/drawing/2014/main" id="{68BAC7AC-78BE-533D-85FC-3A930BE7B358}"/>
              </a:ext>
            </a:extLst>
          </xdr:cNvPr>
          <xdr:cNvGraphicFramePr/>
        </xdr:nvGraphicFramePr>
        <xdr:xfrm>
          <a:off x="43166" y="2873149"/>
          <a:ext cx="2175098" cy="1961318"/>
        </xdr:xfrm>
        <a:graphic>
          <a:graphicData uri="http://schemas.openxmlformats.org/drawingml/2006/chart">
            <c:chart xmlns:c="http://schemas.openxmlformats.org/drawingml/2006/chart" xmlns:r="http://schemas.openxmlformats.org/officeDocument/2006/relationships" r:id="rId2"/>
          </a:graphicData>
        </a:graphic>
      </xdr:graphicFrame>
      <xdr:sp macro="" textlink="">
        <xdr:nvSpPr>
          <xdr:cNvPr id="4" name="TextBox 3">
            <a:extLst>
              <a:ext uri="{FF2B5EF4-FFF2-40B4-BE49-F238E27FC236}">
                <a16:creationId xmlns:a16="http://schemas.microsoft.com/office/drawing/2014/main" id="{AD7416AB-AC24-26F8-7A3C-2F2411239632}"/>
              </a:ext>
            </a:extLst>
          </xdr:cNvPr>
          <xdr:cNvSpPr txBox="1"/>
        </xdr:nvSpPr>
        <xdr:spPr>
          <a:xfrm>
            <a:off x="495692" y="2612242"/>
            <a:ext cx="1280160" cy="260615"/>
          </a:xfrm>
          <a:prstGeom prst="rect">
            <a:avLst/>
          </a:prstGeom>
          <a:grp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100" b="1">
                <a:solidFill>
                  <a:srgbClr val="0070C0"/>
                </a:solidFill>
              </a:rPr>
              <a:t>Revenues (INR Crs.)</a:t>
            </a:r>
          </a:p>
          <a:p>
            <a:endParaRPr lang="en-IN" sz="1100"/>
          </a:p>
        </xdr:txBody>
      </xdr:sp>
      <xdr:cxnSp macro="">
        <xdr:nvCxnSpPr>
          <xdr:cNvPr id="6" name="Straight Connector 5">
            <a:extLst>
              <a:ext uri="{FF2B5EF4-FFF2-40B4-BE49-F238E27FC236}">
                <a16:creationId xmlns:a16="http://schemas.microsoft.com/office/drawing/2014/main" id="{BB2ABF8B-EFF0-117F-A53E-26B9ECDD5FA4}"/>
              </a:ext>
            </a:extLst>
          </xdr:cNvPr>
          <xdr:cNvCxnSpPr/>
        </xdr:nvCxnSpPr>
        <xdr:spPr>
          <a:xfrm>
            <a:off x="186255" y="2523069"/>
            <a:ext cx="1845746" cy="0"/>
          </a:xfrm>
          <a:prstGeom prst="line">
            <a:avLst/>
          </a:prstGeom>
          <a:grpFill/>
          <a:ln w="12700"/>
        </xdr:spPr>
        <xdr:style>
          <a:lnRef idx="2">
            <a:schemeClr val="dk1"/>
          </a:lnRef>
          <a:fillRef idx="0">
            <a:schemeClr val="dk1"/>
          </a:fillRef>
          <a:effectRef idx="1">
            <a:schemeClr val="dk1"/>
          </a:effectRef>
          <a:fontRef idx="minor">
            <a:schemeClr val="tx1"/>
          </a:fontRef>
        </xdr:style>
      </xdr:cxnSp>
    </xdr:grpSp>
    <xdr:clientData/>
  </xdr:twoCellAnchor>
  <xdr:twoCellAnchor>
    <xdr:from>
      <xdr:col>1</xdr:col>
      <xdr:colOff>3141974</xdr:colOff>
      <xdr:row>14</xdr:row>
      <xdr:rowOff>177796</xdr:rowOff>
    </xdr:from>
    <xdr:to>
      <xdr:col>3</xdr:col>
      <xdr:colOff>505454</xdr:colOff>
      <xdr:row>27</xdr:row>
      <xdr:rowOff>67727</xdr:rowOff>
    </xdr:to>
    <xdr:grpSp>
      <xdr:nvGrpSpPr>
        <xdr:cNvPr id="11" name="Group 10">
          <a:extLst>
            <a:ext uri="{FF2B5EF4-FFF2-40B4-BE49-F238E27FC236}">
              <a16:creationId xmlns:a16="http://schemas.microsoft.com/office/drawing/2014/main" id="{FD3C6927-885F-4C54-9636-9BF740D8C676}"/>
            </a:ext>
          </a:extLst>
        </xdr:cNvPr>
        <xdr:cNvGrpSpPr/>
      </xdr:nvGrpSpPr>
      <xdr:grpSpPr>
        <a:xfrm>
          <a:off x="3275324" y="2778121"/>
          <a:ext cx="2468880" cy="2242606"/>
          <a:chOff x="43166" y="2523069"/>
          <a:chExt cx="2175098" cy="2311398"/>
        </a:xfrm>
        <a:solidFill>
          <a:schemeClr val="bg1"/>
        </a:solidFill>
      </xdr:grpSpPr>
      <xdr:graphicFrame macro="">
        <xdr:nvGraphicFramePr>
          <xdr:cNvPr id="12" name="Chart 11">
            <a:extLst>
              <a:ext uri="{FF2B5EF4-FFF2-40B4-BE49-F238E27FC236}">
                <a16:creationId xmlns:a16="http://schemas.microsoft.com/office/drawing/2014/main" id="{1D546D14-A0EE-D3FF-8BCF-59253743B002}"/>
              </a:ext>
            </a:extLst>
          </xdr:cNvPr>
          <xdr:cNvGraphicFramePr/>
        </xdr:nvGraphicFramePr>
        <xdr:xfrm>
          <a:off x="43166" y="2873149"/>
          <a:ext cx="2175098" cy="1961318"/>
        </xdr:xfrm>
        <a:graphic>
          <a:graphicData uri="http://schemas.openxmlformats.org/drawingml/2006/chart">
            <c:chart xmlns:c="http://schemas.openxmlformats.org/drawingml/2006/chart" xmlns:r="http://schemas.openxmlformats.org/officeDocument/2006/relationships" r:id="rId3"/>
          </a:graphicData>
        </a:graphic>
      </xdr:graphicFrame>
      <xdr:sp macro="" textlink="">
        <xdr:nvSpPr>
          <xdr:cNvPr id="13" name="TextBox 12">
            <a:extLst>
              <a:ext uri="{FF2B5EF4-FFF2-40B4-BE49-F238E27FC236}">
                <a16:creationId xmlns:a16="http://schemas.microsoft.com/office/drawing/2014/main" id="{70E10627-1ABB-BAC0-1611-47736DB27AC7}"/>
              </a:ext>
            </a:extLst>
          </xdr:cNvPr>
          <xdr:cNvSpPr txBox="1"/>
        </xdr:nvSpPr>
        <xdr:spPr>
          <a:xfrm>
            <a:off x="450607" y="2631923"/>
            <a:ext cx="1280160" cy="260615"/>
          </a:xfrm>
          <a:prstGeom prst="rect">
            <a:avLst/>
          </a:prstGeom>
          <a:grp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100" b="1">
                <a:solidFill>
                  <a:srgbClr val="0070C0"/>
                </a:solidFill>
              </a:rPr>
              <a:t>Net</a:t>
            </a:r>
            <a:r>
              <a:rPr lang="en-IN" sz="1100" b="1" baseline="0">
                <a:solidFill>
                  <a:srgbClr val="0070C0"/>
                </a:solidFill>
              </a:rPr>
              <a:t> Profit</a:t>
            </a:r>
            <a:r>
              <a:rPr lang="en-IN" sz="1100" b="1">
                <a:solidFill>
                  <a:srgbClr val="0070C0"/>
                </a:solidFill>
              </a:rPr>
              <a:t> (INR Crs.)</a:t>
            </a:r>
          </a:p>
          <a:p>
            <a:endParaRPr lang="en-IN" sz="1100"/>
          </a:p>
        </xdr:txBody>
      </xdr:sp>
      <xdr:cxnSp macro="">
        <xdr:nvCxnSpPr>
          <xdr:cNvPr id="14" name="Straight Connector 13">
            <a:extLst>
              <a:ext uri="{FF2B5EF4-FFF2-40B4-BE49-F238E27FC236}">
                <a16:creationId xmlns:a16="http://schemas.microsoft.com/office/drawing/2014/main" id="{69112395-B291-C4A9-5336-9112D16CA272}"/>
              </a:ext>
            </a:extLst>
          </xdr:cNvPr>
          <xdr:cNvCxnSpPr/>
        </xdr:nvCxnSpPr>
        <xdr:spPr>
          <a:xfrm>
            <a:off x="186255" y="2523069"/>
            <a:ext cx="1845746" cy="0"/>
          </a:xfrm>
          <a:prstGeom prst="line">
            <a:avLst/>
          </a:prstGeom>
          <a:grpFill/>
          <a:ln w="12700"/>
        </xdr:spPr>
        <xdr:style>
          <a:lnRef idx="2">
            <a:schemeClr val="dk1"/>
          </a:lnRef>
          <a:fillRef idx="0">
            <a:schemeClr val="dk1"/>
          </a:fillRef>
          <a:effectRef idx="1">
            <a:schemeClr val="dk1"/>
          </a:effectRef>
          <a:fontRef idx="minor">
            <a:schemeClr val="tx1"/>
          </a:fontRef>
        </xdr:style>
      </xdr:cxnSp>
    </xdr:grpSp>
    <xdr:clientData/>
  </xdr:twoCellAnchor>
  <xdr:twoCellAnchor>
    <xdr:from>
      <xdr:col>4</xdr:col>
      <xdr:colOff>431803</xdr:colOff>
      <xdr:row>14</xdr:row>
      <xdr:rowOff>177799</xdr:rowOff>
    </xdr:from>
    <xdr:to>
      <xdr:col>8</xdr:col>
      <xdr:colOff>462283</xdr:colOff>
      <xdr:row>27</xdr:row>
      <xdr:rowOff>67730</xdr:rowOff>
    </xdr:to>
    <xdr:grpSp>
      <xdr:nvGrpSpPr>
        <xdr:cNvPr id="15" name="Group 14">
          <a:extLst>
            <a:ext uri="{FF2B5EF4-FFF2-40B4-BE49-F238E27FC236}">
              <a16:creationId xmlns:a16="http://schemas.microsoft.com/office/drawing/2014/main" id="{48CC189A-1477-434B-BEB2-B1F0F09778A4}"/>
            </a:ext>
          </a:extLst>
        </xdr:cNvPr>
        <xdr:cNvGrpSpPr/>
      </xdr:nvGrpSpPr>
      <xdr:grpSpPr>
        <a:xfrm>
          <a:off x="6280153" y="2778124"/>
          <a:ext cx="2468880" cy="2242606"/>
          <a:chOff x="43166" y="2523069"/>
          <a:chExt cx="2175098" cy="2311398"/>
        </a:xfrm>
      </xdr:grpSpPr>
      <xdr:graphicFrame macro="">
        <xdr:nvGraphicFramePr>
          <xdr:cNvPr id="16" name="Chart 15">
            <a:extLst>
              <a:ext uri="{FF2B5EF4-FFF2-40B4-BE49-F238E27FC236}">
                <a16:creationId xmlns:a16="http://schemas.microsoft.com/office/drawing/2014/main" id="{0AE00A12-20A7-CF65-4699-59C69EB89B44}"/>
              </a:ext>
            </a:extLst>
          </xdr:cNvPr>
          <xdr:cNvGraphicFramePr/>
        </xdr:nvGraphicFramePr>
        <xdr:xfrm>
          <a:off x="43166" y="2873149"/>
          <a:ext cx="2175098" cy="1961318"/>
        </xdr:xfrm>
        <a:graphic>
          <a:graphicData uri="http://schemas.openxmlformats.org/drawingml/2006/chart">
            <c:chart xmlns:c="http://schemas.openxmlformats.org/drawingml/2006/chart" xmlns:r="http://schemas.openxmlformats.org/officeDocument/2006/relationships" r:id="rId4"/>
          </a:graphicData>
        </a:graphic>
      </xdr:graphicFrame>
      <xdr:sp macro="" textlink="">
        <xdr:nvSpPr>
          <xdr:cNvPr id="17" name="TextBox 16">
            <a:extLst>
              <a:ext uri="{FF2B5EF4-FFF2-40B4-BE49-F238E27FC236}">
                <a16:creationId xmlns:a16="http://schemas.microsoft.com/office/drawing/2014/main" id="{FB510D10-E7AF-476B-34BA-C90D6A27D8D6}"/>
              </a:ext>
            </a:extLst>
          </xdr:cNvPr>
          <xdr:cNvSpPr txBox="1"/>
        </xdr:nvSpPr>
        <xdr:spPr>
          <a:xfrm>
            <a:off x="233857" y="2622107"/>
            <a:ext cx="1695348" cy="24783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100" b="1">
                <a:solidFill>
                  <a:srgbClr val="0070C0"/>
                </a:solidFill>
              </a:rPr>
              <a:t>AverageTotal Assets (INR Crs.)</a:t>
            </a:r>
          </a:p>
          <a:p>
            <a:endParaRPr lang="en-IN" sz="1100"/>
          </a:p>
        </xdr:txBody>
      </xdr:sp>
      <xdr:cxnSp macro="">
        <xdr:nvCxnSpPr>
          <xdr:cNvPr id="18" name="Straight Connector 17">
            <a:extLst>
              <a:ext uri="{FF2B5EF4-FFF2-40B4-BE49-F238E27FC236}">
                <a16:creationId xmlns:a16="http://schemas.microsoft.com/office/drawing/2014/main" id="{54CD1A26-4E16-FAB2-8433-D9991E0240E2}"/>
              </a:ext>
            </a:extLst>
          </xdr:cNvPr>
          <xdr:cNvCxnSpPr/>
        </xdr:nvCxnSpPr>
        <xdr:spPr>
          <a:xfrm>
            <a:off x="186255" y="2523069"/>
            <a:ext cx="1845746" cy="0"/>
          </a:xfrm>
          <a:prstGeom prst="line">
            <a:avLst/>
          </a:prstGeom>
          <a:ln w="12700"/>
        </xdr:spPr>
        <xdr:style>
          <a:lnRef idx="2">
            <a:schemeClr val="dk1"/>
          </a:lnRef>
          <a:fillRef idx="0">
            <a:schemeClr val="dk1"/>
          </a:fillRef>
          <a:effectRef idx="1">
            <a:schemeClr val="dk1"/>
          </a:effectRef>
          <a:fontRef idx="minor">
            <a:schemeClr val="tx1"/>
          </a:fontRef>
        </xdr:style>
      </xdr:cxnSp>
    </xdr:grpSp>
    <xdr:clientData/>
  </xdr:twoCellAnchor>
  <xdr:twoCellAnchor>
    <xdr:from>
      <xdr:col>1</xdr:col>
      <xdr:colOff>114300</xdr:colOff>
      <xdr:row>29</xdr:row>
      <xdr:rowOff>38100</xdr:rowOff>
    </xdr:from>
    <xdr:to>
      <xdr:col>1</xdr:col>
      <xdr:colOff>2583180</xdr:colOff>
      <xdr:row>41</xdr:row>
      <xdr:rowOff>114298</xdr:rowOff>
    </xdr:to>
    <xdr:grpSp>
      <xdr:nvGrpSpPr>
        <xdr:cNvPr id="5" name="Group 4">
          <a:extLst>
            <a:ext uri="{FF2B5EF4-FFF2-40B4-BE49-F238E27FC236}">
              <a16:creationId xmlns:a16="http://schemas.microsoft.com/office/drawing/2014/main" id="{9A50D684-A004-4867-A5C8-DDACA7F6825B}"/>
            </a:ext>
          </a:extLst>
        </xdr:cNvPr>
        <xdr:cNvGrpSpPr/>
      </xdr:nvGrpSpPr>
      <xdr:grpSpPr>
        <a:xfrm>
          <a:off x="247650" y="5353050"/>
          <a:ext cx="2468880" cy="2247898"/>
          <a:chOff x="43166" y="2523069"/>
          <a:chExt cx="2175098" cy="2311398"/>
        </a:xfrm>
        <a:solidFill>
          <a:schemeClr val="bg1"/>
        </a:solidFill>
      </xdr:grpSpPr>
      <xdr:graphicFrame macro="">
        <xdr:nvGraphicFramePr>
          <xdr:cNvPr id="7" name="Chart 6">
            <a:extLst>
              <a:ext uri="{FF2B5EF4-FFF2-40B4-BE49-F238E27FC236}">
                <a16:creationId xmlns:a16="http://schemas.microsoft.com/office/drawing/2014/main" id="{A23DDCAF-DE87-F7ED-39B7-ED5AB526DA69}"/>
              </a:ext>
            </a:extLst>
          </xdr:cNvPr>
          <xdr:cNvGraphicFramePr/>
        </xdr:nvGraphicFramePr>
        <xdr:xfrm>
          <a:off x="43166" y="2873149"/>
          <a:ext cx="2175098" cy="1961318"/>
        </xdr:xfrm>
        <a:graphic>
          <a:graphicData uri="http://schemas.openxmlformats.org/drawingml/2006/chart">
            <c:chart xmlns:c="http://schemas.openxmlformats.org/drawingml/2006/chart" xmlns:r="http://schemas.openxmlformats.org/officeDocument/2006/relationships" r:id="rId5"/>
          </a:graphicData>
        </a:graphic>
      </xdr:graphicFrame>
      <xdr:sp macro="" textlink="">
        <xdr:nvSpPr>
          <xdr:cNvPr id="8" name="TextBox 7">
            <a:extLst>
              <a:ext uri="{FF2B5EF4-FFF2-40B4-BE49-F238E27FC236}">
                <a16:creationId xmlns:a16="http://schemas.microsoft.com/office/drawing/2014/main" id="{8CD6F8B4-3F61-F65E-ED95-BCE709EB650D}"/>
              </a:ext>
            </a:extLst>
          </xdr:cNvPr>
          <xdr:cNvSpPr txBox="1"/>
        </xdr:nvSpPr>
        <xdr:spPr>
          <a:xfrm>
            <a:off x="460816" y="2641624"/>
            <a:ext cx="1280160" cy="260615"/>
          </a:xfrm>
          <a:prstGeom prst="rect">
            <a:avLst/>
          </a:prstGeom>
          <a:grp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100" b="1" baseline="0">
                <a:solidFill>
                  <a:srgbClr val="0070C0"/>
                </a:solidFill>
              </a:rPr>
              <a:t>Return on Equity</a:t>
            </a:r>
            <a:r>
              <a:rPr lang="en-IN" sz="1100" b="1">
                <a:solidFill>
                  <a:srgbClr val="0070C0"/>
                </a:solidFill>
              </a:rPr>
              <a:t> (%)</a:t>
            </a:r>
          </a:p>
          <a:p>
            <a:endParaRPr lang="en-IN" sz="1100"/>
          </a:p>
        </xdr:txBody>
      </xdr:sp>
      <xdr:cxnSp macro="">
        <xdr:nvCxnSpPr>
          <xdr:cNvPr id="9" name="Straight Connector 8">
            <a:extLst>
              <a:ext uri="{FF2B5EF4-FFF2-40B4-BE49-F238E27FC236}">
                <a16:creationId xmlns:a16="http://schemas.microsoft.com/office/drawing/2014/main" id="{DEBC6ED3-64FA-4F8D-4C02-914A5DBEF366}"/>
              </a:ext>
            </a:extLst>
          </xdr:cNvPr>
          <xdr:cNvCxnSpPr/>
        </xdr:nvCxnSpPr>
        <xdr:spPr>
          <a:xfrm>
            <a:off x="186255" y="2523069"/>
            <a:ext cx="1845746" cy="0"/>
          </a:xfrm>
          <a:prstGeom prst="line">
            <a:avLst/>
          </a:prstGeom>
          <a:grpFill/>
          <a:ln w="12700"/>
        </xdr:spPr>
        <xdr:style>
          <a:lnRef idx="2">
            <a:schemeClr val="dk1"/>
          </a:lnRef>
          <a:fillRef idx="0">
            <a:schemeClr val="dk1"/>
          </a:fillRef>
          <a:effectRef idx="1">
            <a:schemeClr val="dk1"/>
          </a:effectRef>
          <a:fontRef idx="minor">
            <a:schemeClr val="tx1"/>
          </a:fontRef>
        </xdr:style>
      </xdr:cxnSp>
    </xdr:grpSp>
    <xdr:clientData/>
  </xdr:twoCellAnchor>
  <xdr:twoCellAnchor>
    <xdr:from>
      <xdr:col>1</xdr:col>
      <xdr:colOff>3124200</xdr:colOff>
      <xdr:row>29</xdr:row>
      <xdr:rowOff>47625</xdr:rowOff>
    </xdr:from>
    <xdr:to>
      <xdr:col>3</xdr:col>
      <xdr:colOff>487680</xdr:colOff>
      <xdr:row>41</xdr:row>
      <xdr:rowOff>118531</xdr:rowOff>
    </xdr:to>
    <xdr:grpSp>
      <xdr:nvGrpSpPr>
        <xdr:cNvPr id="23" name="Group 22">
          <a:extLst>
            <a:ext uri="{FF2B5EF4-FFF2-40B4-BE49-F238E27FC236}">
              <a16:creationId xmlns:a16="http://schemas.microsoft.com/office/drawing/2014/main" id="{217138EA-65FC-4564-BF63-E32BDAD721E7}"/>
            </a:ext>
          </a:extLst>
        </xdr:cNvPr>
        <xdr:cNvGrpSpPr/>
      </xdr:nvGrpSpPr>
      <xdr:grpSpPr>
        <a:xfrm>
          <a:off x="3257550" y="5362575"/>
          <a:ext cx="2468880" cy="2242606"/>
          <a:chOff x="43166" y="2523069"/>
          <a:chExt cx="2175098" cy="2311398"/>
        </a:xfrm>
        <a:solidFill>
          <a:schemeClr val="bg1"/>
        </a:solidFill>
      </xdr:grpSpPr>
      <xdr:graphicFrame macro="">
        <xdr:nvGraphicFramePr>
          <xdr:cNvPr id="24" name="Chart 23">
            <a:extLst>
              <a:ext uri="{FF2B5EF4-FFF2-40B4-BE49-F238E27FC236}">
                <a16:creationId xmlns:a16="http://schemas.microsoft.com/office/drawing/2014/main" id="{A11CE950-12D7-181A-19EA-9797B28ED926}"/>
              </a:ext>
            </a:extLst>
          </xdr:cNvPr>
          <xdr:cNvGraphicFramePr/>
        </xdr:nvGraphicFramePr>
        <xdr:xfrm>
          <a:off x="43166" y="2873149"/>
          <a:ext cx="2175098" cy="1961318"/>
        </xdr:xfrm>
        <a:graphic>
          <a:graphicData uri="http://schemas.openxmlformats.org/drawingml/2006/chart">
            <c:chart xmlns:c="http://schemas.openxmlformats.org/drawingml/2006/chart" xmlns:r="http://schemas.openxmlformats.org/officeDocument/2006/relationships" r:id="rId6"/>
          </a:graphicData>
        </a:graphic>
      </xdr:graphicFrame>
      <xdr:sp macro="" textlink="">
        <xdr:nvSpPr>
          <xdr:cNvPr id="25" name="TextBox 24">
            <a:extLst>
              <a:ext uri="{FF2B5EF4-FFF2-40B4-BE49-F238E27FC236}">
                <a16:creationId xmlns:a16="http://schemas.microsoft.com/office/drawing/2014/main" id="{135A7C2A-2209-98CA-E248-04B569C5B224}"/>
              </a:ext>
            </a:extLst>
          </xdr:cNvPr>
          <xdr:cNvSpPr txBox="1"/>
        </xdr:nvSpPr>
        <xdr:spPr>
          <a:xfrm>
            <a:off x="442254" y="2641740"/>
            <a:ext cx="1280160" cy="260615"/>
          </a:xfrm>
          <a:prstGeom prst="rect">
            <a:avLst/>
          </a:prstGeom>
          <a:grp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100" b="1">
                <a:solidFill>
                  <a:srgbClr val="0070C0"/>
                </a:solidFill>
              </a:rPr>
              <a:t>Retuen</a:t>
            </a:r>
            <a:r>
              <a:rPr lang="en-IN" sz="1100" b="1" baseline="0">
                <a:solidFill>
                  <a:srgbClr val="0070C0"/>
                </a:solidFill>
              </a:rPr>
              <a:t> on Assets</a:t>
            </a:r>
            <a:r>
              <a:rPr lang="en-IN" sz="1100" b="1">
                <a:solidFill>
                  <a:srgbClr val="0070C0"/>
                </a:solidFill>
              </a:rPr>
              <a:t> (%)</a:t>
            </a:r>
          </a:p>
          <a:p>
            <a:endParaRPr lang="en-IN" sz="1100"/>
          </a:p>
        </xdr:txBody>
      </xdr:sp>
      <xdr:cxnSp macro="">
        <xdr:nvCxnSpPr>
          <xdr:cNvPr id="26" name="Straight Connector 25">
            <a:extLst>
              <a:ext uri="{FF2B5EF4-FFF2-40B4-BE49-F238E27FC236}">
                <a16:creationId xmlns:a16="http://schemas.microsoft.com/office/drawing/2014/main" id="{8E51178D-BC42-3C51-A367-C78488661B5D}"/>
              </a:ext>
            </a:extLst>
          </xdr:cNvPr>
          <xdr:cNvCxnSpPr/>
        </xdr:nvCxnSpPr>
        <xdr:spPr>
          <a:xfrm>
            <a:off x="186255" y="2523069"/>
            <a:ext cx="1845746" cy="0"/>
          </a:xfrm>
          <a:prstGeom prst="line">
            <a:avLst/>
          </a:prstGeom>
          <a:grpFill/>
          <a:ln w="12700"/>
        </xdr:spPr>
        <xdr:style>
          <a:lnRef idx="2">
            <a:schemeClr val="dk1"/>
          </a:lnRef>
          <a:fillRef idx="0">
            <a:schemeClr val="dk1"/>
          </a:fillRef>
          <a:effectRef idx="1">
            <a:schemeClr val="dk1"/>
          </a:effectRef>
          <a:fontRef idx="minor">
            <a:schemeClr val="tx1"/>
          </a:fontRef>
        </xdr:style>
      </xdr:cxnSp>
    </xdr:grpSp>
    <xdr:clientData/>
  </xdr:twoCellAnchor>
  <xdr:twoCellAnchor>
    <xdr:from>
      <xdr:col>4</xdr:col>
      <xdr:colOff>380999</xdr:colOff>
      <xdr:row>29</xdr:row>
      <xdr:rowOff>76200</xdr:rowOff>
    </xdr:from>
    <xdr:to>
      <xdr:col>8</xdr:col>
      <xdr:colOff>411479</xdr:colOff>
      <xdr:row>41</xdr:row>
      <xdr:rowOff>147106</xdr:rowOff>
    </xdr:to>
    <xdr:grpSp>
      <xdr:nvGrpSpPr>
        <xdr:cNvPr id="27" name="Group 26">
          <a:extLst>
            <a:ext uri="{FF2B5EF4-FFF2-40B4-BE49-F238E27FC236}">
              <a16:creationId xmlns:a16="http://schemas.microsoft.com/office/drawing/2014/main" id="{72CAE835-A36B-4219-9E59-48862DCEA057}"/>
            </a:ext>
          </a:extLst>
        </xdr:cNvPr>
        <xdr:cNvGrpSpPr/>
      </xdr:nvGrpSpPr>
      <xdr:grpSpPr>
        <a:xfrm>
          <a:off x="6229349" y="5391150"/>
          <a:ext cx="2468880" cy="2242606"/>
          <a:chOff x="43166" y="2523069"/>
          <a:chExt cx="2203717" cy="2311398"/>
        </a:xfrm>
      </xdr:grpSpPr>
      <xdr:graphicFrame macro="">
        <xdr:nvGraphicFramePr>
          <xdr:cNvPr id="28" name="Chart 27">
            <a:extLst>
              <a:ext uri="{FF2B5EF4-FFF2-40B4-BE49-F238E27FC236}">
                <a16:creationId xmlns:a16="http://schemas.microsoft.com/office/drawing/2014/main" id="{897006C7-6D39-8C5E-F068-D6589D2ED0C2}"/>
              </a:ext>
            </a:extLst>
          </xdr:cNvPr>
          <xdr:cNvGraphicFramePr/>
        </xdr:nvGraphicFramePr>
        <xdr:xfrm>
          <a:off x="43166" y="2873149"/>
          <a:ext cx="2175098" cy="1961318"/>
        </xdr:xfrm>
        <a:graphic>
          <a:graphicData uri="http://schemas.openxmlformats.org/drawingml/2006/chart">
            <c:chart xmlns:c="http://schemas.openxmlformats.org/drawingml/2006/chart" xmlns:r="http://schemas.openxmlformats.org/officeDocument/2006/relationships" r:id="rId7"/>
          </a:graphicData>
        </a:graphic>
      </xdr:graphicFrame>
      <xdr:sp macro="" textlink="">
        <xdr:nvSpPr>
          <xdr:cNvPr id="29" name="TextBox 28">
            <a:extLst>
              <a:ext uri="{FF2B5EF4-FFF2-40B4-BE49-F238E27FC236}">
                <a16:creationId xmlns:a16="http://schemas.microsoft.com/office/drawing/2014/main" id="{CCC17A27-2CEC-C5A2-EBD8-B18F2ECB6EA8}"/>
              </a:ext>
            </a:extLst>
          </xdr:cNvPr>
          <xdr:cNvSpPr txBox="1"/>
        </xdr:nvSpPr>
        <xdr:spPr>
          <a:xfrm>
            <a:off x="551535" y="2651558"/>
            <a:ext cx="1695348" cy="24783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100" b="1">
                <a:solidFill>
                  <a:srgbClr val="0070C0"/>
                </a:solidFill>
              </a:rPr>
              <a:t>Financial</a:t>
            </a:r>
            <a:r>
              <a:rPr lang="en-IN" sz="1100" b="1" baseline="0">
                <a:solidFill>
                  <a:srgbClr val="0070C0"/>
                </a:solidFill>
              </a:rPr>
              <a:t> Leverage</a:t>
            </a:r>
            <a:endParaRPr lang="en-IN" sz="1100" b="1">
              <a:solidFill>
                <a:srgbClr val="0070C0"/>
              </a:solidFill>
            </a:endParaRPr>
          </a:p>
          <a:p>
            <a:endParaRPr lang="en-IN" sz="1100"/>
          </a:p>
        </xdr:txBody>
      </xdr:sp>
      <xdr:cxnSp macro="">
        <xdr:nvCxnSpPr>
          <xdr:cNvPr id="30" name="Straight Connector 29">
            <a:extLst>
              <a:ext uri="{FF2B5EF4-FFF2-40B4-BE49-F238E27FC236}">
                <a16:creationId xmlns:a16="http://schemas.microsoft.com/office/drawing/2014/main" id="{B793214C-C53D-368E-887D-3B2DDEA14677}"/>
              </a:ext>
            </a:extLst>
          </xdr:cNvPr>
          <xdr:cNvCxnSpPr/>
        </xdr:nvCxnSpPr>
        <xdr:spPr>
          <a:xfrm>
            <a:off x="186255" y="2523069"/>
            <a:ext cx="1845746" cy="0"/>
          </a:xfrm>
          <a:prstGeom prst="line">
            <a:avLst/>
          </a:prstGeom>
          <a:ln w="12700"/>
        </xdr:spPr>
        <xdr:style>
          <a:lnRef idx="2">
            <a:schemeClr val="dk1"/>
          </a:lnRef>
          <a:fillRef idx="0">
            <a:schemeClr val="dk1"/>
          </a:fillRef>
          <a:effectRef idx="1">
            <a:schemeClr val="dk1"/>
          </a:effectRef>
          <a:fontRef idx="minor">
            <a:schemeClr val="tx1"/>
          </a:fontRef>
        </xdr:style>
      </xdr:cxnSp>
    </xdr:grpSp>
    <xdr:clientData/>
  </xdr:twoCellAnchor>
  <xdr:twoCellAnchor>
    <xdr:from>
      <xdr:col>1</xdr:col>
      <xdr:colOff>142875</xdr:colOff>
      <xdr:row>42</xdr:row>
      <xdr:rowOff>9525</xdr:rowOff>
    </xdr:from>
    <xdr:to>
      <xdr:col>8</xdr:col>
      <xdr:colOff>581025</xdr:colOff>
      <xdr:row>54</xdr:row>
      <xdr:rowOff>32385</xdr:rowOff>
    </xdr:to>
    <xdr:sp macro="" textlink="">
      <xdr:nvSpPr>
        <xdr:cNvPr id="31" name="TextBox 30">
          <a:extLst>
            <a:ext uri="{FF2B5EF4-FFF2-40B4-BE49-F238E27FC236}">
              <a16:creationId xmlns:a16="http://schemas.microsoft.com/office/drawing/2014/main" id="{3734CDC2-383F-C80B-7DA3-E88B29C2E274}"/>
            </a:ext>
          </a:extLst>
        </xdr:cNvPr>
        <xdr:cNvSpPr txBox="1"/>
      </xdr:nvSpPr>
      <xdr:spPr>
        <a:xfrm>
          <a:off x="276225" y="7629525"/>
          <a:ext cx="8591550" cy="2194560"/>
        </a:xfrm>
        <a:prstGeom prst="rect">
          <a:avLst/>
        </a:prstGeom>
        <a:solidFill>
          <a:schemeClr val="bg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400" b="1">
              <a:solidFill>
                <a:srgbClr val="002060"/>
              </a:solidFill>
            </a:rPr>
            <a:t>Recent Update</a:t>
          </a:r>
          <a:endParaRPr lang="en-IN" sz="1400"/>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IN"/>
            <a:t>For FY 2025 (ending March 31, 2025), Infosys reported a strong financial performance with revenues of ₹1,62,990 crore, marking a 6.1% year-on-year growth (4.2% in constant currency)</a:t>
          </a:r>
          <a:r>
            <a:rPr lang="en-IN" sz="1100" b="0" i="0">
              <a:solidFill>
                <a:schemeClr val="dk1"/>
              </a:solidFill>
              <a:effectLst/>
              <a:latin typeface="+mn-lt"/>
              <a:ea typeface="+mn-ea"/>
              <a:cs typeface="+mn-cs"/>
            </a:rPr>
            <a:t>. </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IN" sz="1100" b="0" i="0">
              <a:solidFill>
                <a:schemeClr val="dk1"/>
              </a:solidFill>
              <a:effectLst/>
              <a:latin typeface="+mn-lt"/>
              <a:ea typeface="+mn-ea"/>
              <a:cs typeface="+mn-cs"/>
            </a:rPr>
            <a:t>The company maintained a 21.1% operating margin, a 16.4% profit margin, and declared a 13.2% increase in dividend per share, demonstrating continued large deal momentum. </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IN"/>
            <a:t>The company also produced strong </a:t>
          </a:r>
          <a:r>
            <a:rPr lang="en-IN" b="0"/>
            <a:t>free cash flow of ₹34,549 crore, reflecting efficient operations and cash generation. </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IN" b="0"/>
            <a:t>Growth was supported by increasing demand for digital transformation, cloud, and AI services. However, revenue growth remains moderate due to cautious global IT spending and macroeconomic uncertainty.</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IN"/>
            <a:t>reported </a:t>
          </a:r>
          <a:r>
            <a:rPr lang="en-IN" b="0"/>
            <a:t>quarterly revenue of ₹45,479 crore and net profit of ₹6,666 crore</a:t>
          </a:r>
          <a:r>
            <a:rPr lang="en-IN"/>
            <a:t>, reflecting steady performance despite global IT spending uncertainty.</a:t>
          </a:r>
          <a:br>
            <a:rPr lang="en-IN"/>
          </a:br>
          <a:r>
            <a:rPr lang="en-IN"/>
            <a:t>The company maintained a strong </a:t>
          </a:r>
          <a:r>
            <a:rPr lang="en-IN" b="0"/>
            <a:t>operating margin of around 21% and EPS of ₹16.17</a:t>
          </a:r>
          <a:r>
            <a:rPr lang="en-IN"/>
            <a:t>, indicating stable profitability and efficient cost management.</a:t>
          </a:r>
          <a:endParaRPr lang="en-IN" b="0"/>
        </a:p>
      </xdr:txBody>
    </xdr:sp>
    <xdr:clientData/>
  </xdr:twoCellAnchor>
  <xdr:twoCellAnchor>
    <xdr:from>
      <xdr:col>1</xdr:col>
      <xdr:colOff>0</xdr:colOff>
      <xdr:row>98</xdr:row>
      <xdr:rowOff>180974</xdr:rowOff>
    </xdr:from>
    <xdr:to>
      <xdr:col>8</xdr:col>
      <xdr:colOff>438150</xdr:colOff>
      <xdr:row>109</xdr:row>
      <xdr:rowOff>104774</xdr:rowOff>
    </xdr:to>
    <xdr:sp macro="" textlink="">
      <xdr:nvSpPr>
        <xdr:cNvPr id="32" name="TextBox 31">
          <a:extLst>
            <a:ext uri="{FF2B5EF4-FFF2-40B4-BE49-F238E27FC236}">
              <a16:creationId xmlns:a16="http://schemas.microsoft.com/office/drawing/2014/main" id="{632BC364-F0B8-4741-9670-3E7A3FCAB508}"/>
            </a:ext>
          </a:extLst>
        </xdr:cNvPr>
        <xdr:cNvSpPr txBox="1"/>
      </xdr:nvSpPr>
      <xdr:spPr>
        <a:xfrm>
          <a:off x="133350" y="18040349"/>
          <a:ext cx="8591550" cy="1914525"/>
        </a:xfrm>
        <a:prstGeom prst="rect">
          <a:avLst/>
        </a:prstGeom>
        <a:solidFill>
          <a:schemeClr val="bg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400" b="1">
              <a:solidFill>
                <a:srgbClr val="002060"/>
              </a:solidFill>
            </a:rPr>
            <a:t>Dupont</a:t>
          </a:r>
          <a:r>
            <a:rPr lang="en-IN" sz="1400" b="1" baseline="0">
              <a:solidFill>
                <a:srgbClr val="002060"/>
              </a:solidFill>
            </a:rPr>
            <a:t> Summary</a:t>
          </a:r>
        </a:p>
        <a:p>
          <a:pPr marL="171450" indent="-171450">
            <a:buFont typeface="Arial" panose="020B0604020202020204" pitchFamily="34" charset="0"/>
            <a:buChar char="•"/>
          </a:pPr>
          <a:r>
            <a:rPr lang="en-IN" sz="1100" b="0">
              <a:latin typeface="+mn-lt"/>
            </a:rPr>
            <a:t>Infosys maintained a strong Return on Equity (ROE) between 23.72% and 32.08% from Mar-19 to Mar-25, indicating efficient shareholder value creation. ROE peaked at 32.08% in Mar-24 before slightly declining to 29.05% in Mar-25, mainly due to a small drop in profit margin and asset efficiency.</a:t>
          </a:r>
        </a:p>
        <a:p>
          <a:pPr marL="171450" indent="-171450">
            <a:buFont typeface="Arial" panose="020B0604020202020204" pitchFamily="34" charset="0"/>
            <a:buChar char="•"/>
          </a:pPr>
          <a:r>
            <a:rPr lang="en-IN" sz="1100" b="0">
              <a:latin typeface="+mn-lt"/>
            </a:rPr>
            <a:t>The Net Profit Margin ranged around 16%–19%, showing stable profitability despite revenue growth. Asset Turnover remained steady at around 1.0x–1.2x, reflecting consistent operational efficiency.</a:t>
          </a:r>
        </a:p>
        <a:p>
          <a:pPr marL="171450" indent="-171450">
            <a:buFont typeface="Arial" panose="020B0604020202020204" pitchFamily="34" charset="0"/>
            <a:buChar char="•"/>
          </a:pPr>
          <a:r>
            <a:rPr lang="en-IN" sz="1100" b="0">
              <a:latin typeface="+mn-lt"/>
            </a:rPr>
            <a:t>The Equity Multiplier gradually increased from 1.26x to around 1.55x–1.60x, indicating moderate financial leverage contributing to ROE growth. Meanwhile, Return on Assets (ROA) stayed stable near 19%–20%, suggesting efficient asset utilization.</a:t>
          </a:r>
        </a:p>
        <a:p>
          <a:pPr marL="171450" indent="-171450">
            <a:buFont typeface="Arial" panose="020B0604020202020204" pitchFamily="34" charset="0"/>
            <a:buChar char="•"/>
          </a:pPr>
          <a:r>
            <a:rPr lang="en-IN" sz="1100" b="0">
              <a:latin typeface="+mn-lt"/>
            </a:rPr>
            <a:t>Overall, Infosys demonstrates strong profitability, stable operational efficiency, and controlled leverage, supporting consistently high returns for shareholders. </a:t>
          </a:r>
        </a:p>
        <a:p>
          <a:pPr marL="0" marR="0" lvl="0" indent="0" defTabSz="914400" eaLnBrk="1" fontAlgn="auto" latinLnBrk="0" hangingPunct="1">
            <a:lnSpc>
              <a:spcPct val="100000"/>
            </a:lnSpc>
            <a:spcBef>
              <a:spcPts val="0"/>
            </a:spcBef>
            <a:spcAft>
              <a:spcPts val="0"/>
            </a:spcAft>
            <a:buClrTx/>
            <a:buSzTx/>
            <a:buFontTx/>
            <a:buNone/>
            <a:tabLst/>
            <a:defRPr/>
          </a:pPr>
          <a:endParaRPr lang="en-IN" sz="1400"/>
        </a:p>
      </xdr:txBody>
    </xdr:sp>
    <xdr:clientData/>
  </xdr:twoCellAnchor>
  <xdr:twoCellAnchor>
    <xdr:from>
      <xdr:col>1</xdr:col>
      <xdr:colOff>40216</xdr:colOff>
      <xdr:row>109</xdr:row>
      <xdr:rowOff>17991</xdr:rowOff>
    </xdr:from>
    <xdr:to>
      <xdr:col>7</xdr:col>
      <xdr:colOff>311149</xdr:colOff>
      <xdr:row>111</xdr:row>
      <xdr:rowOff>21801</xdr:rowOff>
    </xdr:to>
    <xdr:sp macro="" textlink="">
      <xdr:nvSpPr>
        <xdr:cNvPr id="33" name="TextBox 32">
          <a:extLst>
            <a:ext uri="{FF2B5EF4-FFF2-40B4-BE49-F238E27FC236}">
              <a16:creationId xmlns:a16="http://schemas.microsoft.com/office/drawing/2014/main" id="{EB77DC40-4CBD-6862-DC7D-AF5CF88DFB49}"/>
            </a:ext>
          </a:extLst>
        </xdr:cNvPr>
        <xdr:cNvSpPr txBox="1"/>
      </xdr:nvSpPr>
      <xdr:spPr>
        <a:xfrm>
          <a:off x="173566" y="19868091"/>
          <a:ext cx="7814733" cy="36576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800" b="1" i="1">
              <a:solidFill>
                <a:srgbClr val="002060"/>
              </a:solidFill>
            </a:rPr>
            <a:t>Disclaimer: </a:t>
          </a:r>
          <a:r>
            <a:rPr lang="en-IN" sz="800" i="1"/>
            <a:t>This report is made as part of educational assignment and is meant for educational purpose only. The author of the report is not liable for any losses due to actions taken basis this report. It is advisable to consult SEBI registered reasearch analyst before making any investments.</a:t>
          </a:r>
        </a:p>
        <a:p>
          <a:endParaRPr lang="en-IN" sz="800"/>
        </a:p>
        <a:p>
          <a:endParaRPr lang="en-IN" sz="1100"/>
        </a:p>
        <a:p>
          <a:endParaRPr lang="en-IN" sz="1100"/>
        </a:p>
        <a:p>
          <a:endParaRPr lang="en-IN" sz="1100"/>
        </a:p>
      </xdr:txBody>
    </xdr:sp>
    <xdr:clientData/>
  </xdr:twoCellAnchor>
  <xdr:twoCellAnchor>
    <xdr:from>
      <xdr:col>0</xdr:col>
      <xdr:colOff>85725</xdr:colOff>
      <xdr:row>8</xdr:row>
      <xdr:rowOff>47625</xdr:rowOff>
    </xdr:from>
    <xdr:to>
      <xdr:col>4</xdr:col>
      <xdr:colOff>533400</xdr:colOff>
      <xdr:row>11</xdr:row>
      <xdr:rowOff>144780</xdr:rowOff>
    </xdr:to>
    <xdr:sp macro="" textlink="">
      <xdr:nvSpPr>
        <xdr:cNvPr id="34" name="TextBox 33">
          <a:extLst>
            <a:ext uri="{FF2B5EF4-FFF2-40B4-BE49-F238E27FC236}">
              <a16:creationId xmlns:a16="http://schemas.microsoft.com/office/drawing/2014/main" id="{EA91BDD1-B8A2-14D0-F4B5-26B7D937EA20}"/>
            </a:ext>
          </a:extLst>
        </xdr:cNvPr>
        <xdr:cNvSpPr txBox="1"/>
      </xdr:nvSpPr>
      <xdr:spPr>
        <a:xfrm>
          <a:off x="85725" y="1638300"/>
          <a:ext cx="6296025" cy="64008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Infosys Limited is an Indian multinational technology company that offers information technology, business consulting, and outsourcing services. Founded in 1981 by seven engineers, the company is headquartered in Bengaluru and considered one of the Big Six Indian IT companies.</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193754</xdr:colOff>
      <xdr:row>14</xdr:row>
      <xdr:rowOff>54408</xdr:rowOff>
    </xdr:from>
    <xdr:to>
      <xdr:col>1</xdr:col>
      <xdr:colOff>1602107</xdr:colOff>
      <xdr:row>15</xdr:row>
      <xdr:rowOff>63600</xdr:rowOff>
    </xdr:to>
    <xdr:sp macro="" textlink="">
      <xdr:nvSpPr>
        <xdr:cNvPr id="4" name="TextBox 3">
          <a:extLst>
            <a:ext uri="{FF2B5EF4-FFF2-40B4-BE49-F238E27FC236}">
              <a16:creationId xmlns:a16="http://schemas.microsoft.com/office/drawing/2014/main" id="{97ACDF0C-40FF-4776-BCB2-C25393DE7169}"/>
            </a:ext>
          </a:extLst>
        </xdr:cNvPr>
        <xdr:cNvSpPr txBox="1"/>
      </xdr:nvSpPr>
      <xdr:spPr>
        <a:xfrm>
          <a:off x="323294" y="3399588"/>
          <a:ext cx="1408353" cy="1920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050" b="1">
              <a:solidFill>
                <a:srgbClr val="002060"/>
              </a:solidFill>
              <a:latin typeface="+mn-lt"/>
            </a:rPr>
            <a:t>Working Capital</a:t>
          </a:r>
        </a:p>
      </xdr:txBody>
    </xdr:sp>
    <xdr:clientData/>
  </xdr:twoCellAnchor>
  <xdr:twoCellAnchor>
    <xdr:from>
      <xdr:col>2</xdr:col>
      <xdr:colOff>218220</xdr:colOff>
      <xdr:row>14</xdr:row>
      <xdr:rowOff>41371</xdr:rowOff>
    </xdr:from>
    <xdr:to>
      <xdr:col>4</xdr:col>
      <xdr:colOff>334012</xdr:colOff>
      <xdr:row>15</xdr:row>
      <xdr:rowOff>54373</xdr:rowOff>
    </xdr:to>
    <xdr:sp macro="" textlink="">
      <xdr:nvSpPr>
        <xdr:cNvPr id="6" name="TextBox 5">
          <a:extLst>
            <a:ext uri="{FF2B5EF4-FFF2-40B4-BE49-F238E27FC236}">
              <a16:creationId xmlns:a16="http://schemas.microsoft.com/office/drawing/2014/main" id="{E8FC4451-70E4-4B6C-869D-8FBC28EF974D}"/>
            </a:ext>
          </a:extLst>
        </xdr:cNvPr>
        <xdr:cNvSpPr txBox="1"/>
      </xdr:nvSpPr>
      <xdr:spPr>
        <a:xfrm>
          <a:off x="2793780" y="3386551"/>
          <a:ext cx="1487392" cy="1958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050" b="1">
              <a:solidFill>
                <a:srgbClr val="002060"/>
              </a:solidFill>
              <a:latin typeface="+mn-lt"/>
            </a:rPr>
            <a:t>Total Assets</a:t>
          </a:r>
        </a:p>
        <a:p>
          <a:endParaRPr lang="en-IN" sz="1050" b="1">
            <a:solidFill>
              <a:srgbClr val="028655"/>
            </a:solidFill>
            <a:latin typeface="+mn-lt"/>
          </a:endParaRPr>
        </a:p>
      </xdr:txBody>
    </xdr:sp>
    <xdr:clientData/>
  </xdr:twoCellAnchor>
  <xdr:twoCellAnchor>
    <xdr:from>
      <xdr:col>5</xdr:col>
      <xdr:colOff>459268</xdr:colOff>
      <xdr:row>14</xdr:row>
      <xdr:rowOff>51507</xdr:rowOff>
    </xdr:from>
    <xdr:to>
      <xdr:col>8</xdr:col>
      <xdr:colOff>574885</xdr:colOff>
      <xdr:row>15</xdr:row>
      <xdr:rowOff>77258</xdr:rowOff>
    </xdr:to>
    <xdr:sp macro="" textlink="">
      <xdr:nvSpPr>
        <xdr:cNvPr id="7" name="TextBox 6">
          <a:extLst>
            <a:ext uri="{FF2B5EF4-FFF2-40B4-BE49-F238E27FC236}">
              <a16:creationId xmlns:a16="http://schemas.microsoft.com/office/drawing/2014/main" id="{FB81AD52-DAE7-441C-8455-CBF2B4A17FCA}"/>
            </a:ext>
          </a:extLst>
        </xdr:cNvPr>
        <xdr:cNvSpPr txBox="1"/>
      </xdr:nvSpPr>
      <xdr:spPr>
        <a:xfrm>
          <a:off x="5130328" y="3396687"/>
          <a:ext cx="2287317" cy="2086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050" b="1">
              <a:solidFill>
                <a:srgbClr val="002060"/>
              </a:solidFill>
              <a:latin typeface="+mn-lt"/>
            </a:rPr>
            <a:t>EBIT</a:t>
          </a:r>
        </a:p>
      </xdr:txBody>
    </xdr:sp>
    <xdr:clientData/>
  </xdr:twoCellAnchor>
  <xdr:twoCellAnchor>
    <xdr:from>
      <xdr:col>1</xdr:col>
      <xdr:colOff>219304</xdr:colOff>
      <xdr:row>25</xdr:row>
      <xdr:rowOff>180847</xdr:rowOff>
    </xdr:from>
    <xdr:to>
      <xdr:col>1</xdr:col>
      <xdr:colOff>1627657</xdr:colOff>
      <xdr:row>26</xdr:row>
      <xdr:rowOff>188135</xdr:rowOff>
    </xdr:to>
    <xdr:sp macro="" textlink="">
      <xdr:nvSpPr>
        <xdr:cNvPr id="11" name="TextBox 10">
          <a:extLst>
            <a:ext uri="{FF2B5EF4-FFF2-40B4-BE49-F238E27FC236}">
              <a16:creationId xmlns:a16="http://schemas.microsoft.com/office/drawing/2014/main" id="{72BFD9BF-B9C2-474A-A91B-B2DA0B12FC4B}"/>
            </a:ext>
          </a:extLst>
        </xdr:cNvPr>
        <xdr:cNvSpPr txBox="1"/>
      </xdr:nvSpPr>
      <xdr:spPr>
        <a:xfrm>
          <a:off x="348844" y="5537707"/>
          <a:ext cx="1408353" cy="1825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050" b="1">
              <a:solidFill>
                <a:srgbClr val="002060"/>
              </a:solidFill>
              <a:latin typeface="+mn-lt"/>
            </a:rPr>
            <a:t>Market Cap</a:t>
          </a:r>
        </a:p>
      </xdr:txBody>
    </xdr:sp>
    <xdr:clientData/>
  </xdr:twoCellAnchor>
  <xdr:twoCellAnchor>
    <xdr:from>
      <xdr:col>2</xdr:col>
      <xdr:colOff>241651</xdr:colOff>
      <xdr:row>25</xdr:row>
      <xdr:rowOff>163564</xdr:rowOff>
    </xdr:from>
    <xdr:to>
      <xdr:col>4</xdr:col>
      <xdr:colOff>355538</xdr:colOff>
      <xdr:row>27</xdr:row>
      <xdr:rowOff>5117</xdr:rowOff>
    </xdr:to>
    <xdr:sp macro="" textlink="">
      <xdr:nvSpPr>
        <xdr:cNvPr id="12" name="TextBox 11">
          <a:extLst>
            <a:ext uri="{FF2B5EF4-FFF2-40B4-BE49-F238E27FC236}">
              <a16:creationId xmlns:a16="http://schemas.microsoft.com/office/drawing/2014/main" id="{907C2DAD-ED09-4791-97E9-E31117ED44C7}"/>
            </a:ext>
          </a:extLst>
        </xdr:cNvPr>
        <xdr:cNvSpPr txBox="1"/>
      </xdr:nvSpPr>
      <xdr:spPr>
        <a:xfrm>
          <a:off x="3282031" y="5314684"/>
          <a:ext cx="1592167" cy="2073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050" b="1">
              <a:solidFill>
                <a:srgbClr val="002060"/>
              </a:solidFill>
              <a:latin typeface="+mn-lt"/>
            </a:rPr>
            <a:t>Total</a:t>
          </a:r>
          <a:r>
            <a:rPr lang="en-IN" sz="1050" b="1" baseline="0">
              <a:solidFill>
                <a:srgbClr val="002060"/>
              </a:solidFill>
              <a:latin typeface="+mn-lt"/>
            </a:rPr>
            <a:t> Sales</a:t>
          </a:r>
          <a:endParaRPr lang="en-IN" sz="1050" b="1">
            <a:solidFill>
              <a:srgbClr val="002060"/>
            </a:solidFill>
            <a:latin typeface="+mn-lt"/>
          </a:endParaRPr>
        </a:p>
      </xdr:txBody>
    </xdr:sp>
    <xdr:clientData/>
  </xdr:twoCellAnchor>
  <xdr:twoCellAnchor>
    <xdr:from>
      <xdr:col>6</xdr:col>
      <xdr:colOff>134310</xdr:colOff>
      <xdr:row>25</xdr:row>
      <xdr:rowOff>146136</xdr:rowOff>
    </xdr:from>
    <xdr:to>
      <xdr:col>8</xdr:col>
      <xdr:colOff>315084</xdr:colOff>
      <xdr:row>26</xdr:row>
      <xdr:rowOff>149614</xdr:rowOff>
    </xdr:to>
    <xdr:sp macro="" textlink="">
      <xdr:nvSpPr>
        <xdr:cNvPr id="14" name="TextBox 13">
          <a:extLst>
            <a:ext uri="{FF2B5EF4-FFF2-40B4-BE49-F238E27FC236}">
              <a16:creationId xmlns:a16="http://schemas.microsoft.com/office/drawing/2014/main" id="{BC199B00-7186-4FA2-87A9-10800565D385}"/>
            </a:ext>
          </a:extLst>
        </xdr:cNvPr>
        <xdr:cNvSpPr txBox="1"/>
      </xdr:nvSpPr>
      <xdr:spPr>
        <a:xfrm>
          <a:off x="5529270" y="5502996"/>
          <a:ext cx="1628574" cy="1863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050" b="1">
              <a:solidFill>
                <a:srgbClr val="002060"/>
              </a:solidFill>
              <a:latin typeface="+mn-lt"/>
            </a:rPr>
            <a:t>Altman's</a:t>
          </a:r>
          <a:r>
            <a:rPr lang="en-IN" sz="1050" b="1" baseline="0">
              <a:solidFill>
                <a:srgbClr val="002060"/>
              </a:solidFill>
              <a:latin typeface="+mn-lt"/>
            </a:rPr>
            <a:t> Z Score</a:t>
          </a:r>
        </a:p>
        <a:p>
          <a:pPr algn="ctr"/>
          <a:endParaRPr lang="en-IN" sz="1050" b="1">
            <a:solidFill>
              <a:srgbClr val="028655"/>
            </a:solidFill>
            <a:latin typeface="+mn-lt"/>
          </a:endParaRPr>
        </a:p>
      </xdr:txBody>
    </xdr:sp>
    <xdr:clientData/>
  </xdr:twoCellAnchor>
  <xdr:twoCellAnchor>
    <xdr:from>
      <xdr:col>0</xdr:col>
      <xdr:colOff>601980</xdr:colOff>
      <xdr:row>36</xdr:row>
      <xdr:rowOff>111407</xdr:rowOff>
    </xdr:from>
    <xdr:to>
      <xdr:col>9</xdr:col>
      <xdr:colOff>0</xdr:colOff>
      <xdr:row>48</xdr:row>
      <xdr:rowOff>137161</xdr:rowOff>
    </xdr:to>
    <xdr:sp macro="" textlink="">
      <xdr:nvSpPr>
        <xdr:cNvPr id="16" name="TextBox 15">
          <a:extLst>
            <a:ext uri="{FF2B5EF4-FFF2-40B4-BE49-F238E27FC236}">
              <a16:creationId xmlns:a16="http://schemas.microsoft.com/office/drawing/2014/main" id="{66FE3AC2-9813-45C1-B73A-8157BE51E7FA}"/>
            </a:ext>
          </a:extLst>
        </xdr:cNvPr>
        <xdr:cNvSpPr txBox="1"/>
      </xdr:nvSpPr>
      <xdr:spPr>
        <a:xfrm>
          <a:off x="601980" y="7274207"/>
          <a:ext cx="6385560" cy="24031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 typeface="Arial" panose="020B0604020202020204" pitchFamily="34" charset="0"/>
            <a:buNone/>
            <a:tabLst/>
            <a:defRPr/>
          </a:pPr>
          <a:r>
            <a:rPr lang="en-IN" sz="1400" b="1" i="0">
              <a:solidFill>
                <a:srgbClr val="002060"/>
              </a:solidFill>
              <a:effectLst/>
              <a:latin typeface="+mn-lt"/>
              <a:ea typeface="+mn-ea"/>
              <a:cs typeface="+mn-cs"/>
            </a:rPr>
            <a:t>Recent Updates</a:t>
          </a:r>
        </a:p>
        <a:p>
          <a:pPr eaLnBrk="1" fontAlgn="auto" latinLnBrk="0" hangingPunct="1"/>
          <a:r>
            <a:rPr lang="en-IN"/>
            <a:t>• </a:t>
          </a:r>
          <a:r>
            <a:rPr lang="en-IN" sz="1100">
              <a:solidFill>
                <a:schemeClr val="dk1"/>
              </a:solidFill>
              <a:effectLst/>
              <a:latin typeface="+mn-lt"/>
              <a:ea typeface="+mn-ea"/>
              <a:cs typeface="+mn-cs"/>
            </a:rPr>
            <a:t>For FY 2025 (ending March 31, 2025), Infosys reported a strong financial performance with revenues of ₹1,62,990 crore, marking a 6.1% year-on-year growth (4.2% in constant currency)</a:t>
          </a:r>
          <a:r>
            <a:rPr lang="en-IN" sz="1100" b="0" i="0">
              <a:solidFill>
                <a:schemeClr val="dk1"/>
              </a:solidFill>
              <a:effectLst/>
              <a:latin typeface="+mn-lt"/>
              <a:ea typeface="+mn-ea"/>
              <a:cs typeface="+mn-cs"/>
            </a:rPr>
            <a:t>. </a:t>
          </a:r>
          <a:endParaRPr lang="en-IN" sz="1100">
            <a:effectLst/>
          </a:endParaRPr>
        </a:p>
        <a:p>
          <a:pPr eaLnBrk="1" fontAlgn="auto" latinLnBrk="0" hangingPunct="1"/>
          <a:r>
            <a:rPr lang="en-IN"/>
            <a:t>• </a:t>
          </a:r>
          <a:r>
            <a:rPr lang="en-IN" sz="1100" b="0" i="0">
              <a:solidFill>
                <a:schemeClr val="dk1"/>
              </a:solidFill>
              <a:effectLst/>
              <a:latin typeface="+mn-lt"/>
              <a:ea typeface="+mn-ea"/>
              <a:cs typeface="+mn-cs"/>
            </a:rPr>
            <a:t>The company maintained a 21.1% operating margin, a 16.4% profit margin, and declared a 13.2% increase in dividend per share, demonstrating continued large deal momentum. </a:t>
          </a:r>
          <a:endParaRPr lang="en-IN" sz="1200">
            <a:effectLst/>
          </a:endParaRPr>
        </a:p>
        <a:p>
          <a:pPr eaLnBrk="1" fontAlgn="auto" latinLnBrk="0" hangingPunct="1"/>
          <a:r>
            <a:rPr lang="en-IN"/>
            <a:t>• </a:t>
          </a:r>
          <a:r>
            <a:rPr lang="en-IN" sz="1100">
              <a:solidFill>
                <a:schemeClr val="dk1"/>
              </a:solidFill>
              <a:effectLst/>
              <a:latin typeface="+mn-lt"/>
              <a:ea typeface="+mn-ea"/>
              <a:cs typeface="+mn-cs"/>
            </a:rPr>
            <a:t>The company also produced strong </a:t>
          </a:r>
          <a:r>
            <a:rPr lang="en-IN" sz="1100" b="0">
              <a:solidFill>
                <a:schemeClr val="dk1"/>
              </a:solidFill>
              <a:effectLst/>
              <a:latin typeface="+mn-lt"/>
              <a:ea typeface="+mn-ea"/>
              <a:cs typeface="+mn-cs"/>
            </a:rPr>
            <a:t>free cash flow of ₹34,549 crore, reflecting efficient operations and cash generation. </a:t>
          </a:r>
          <a:endParaRPr lang="en-IN" sz="1200">
            <a:effectLst/>
          </a:endParaRPr>
        </a:p>
        <a:p>
          <a:pPr eaLnBrk="1" fontAlgn="auto" latinLnBrk="0" hangingPunct="1"/>
          <a:r>
            <a:rPr lang="en-IN"/>
            <a:t>• </a:t>
          </a:r>
          <a:r>
            <a:rPr lang="en-IN" sz="1100" b="0">
              <a:solidFill>
                <a:schemeClr val="dk1"/>
              </a:solidFill>
              <a:effectLst/>
              <a:latin typeface="+mn-lt"/>
              <a:ea typeface="+mn-ea"/>
              <a:cs typeface="+mn-cs"/>
            </a:rPr>
            <a:t>Growth was supported by increasing demand for digital transformation, cloud, and AI services. However, revenue growth remains moderate due to cautious global IT spending and macroeconomic uncertainty.</a:t>
          </a:r>
          <a:endParaRPr lang="en-IN" sz="1200">
            <a:effectLst/>
          </a:endParaRPr>
        </a:p>
        <a:p>
          <a:pPr eaLnBrk="1" fontAlgn="auto" latinLnBrk="0" hangingPunct="1"/>
          <a:r>
            <a:rPr lang="en-IN"/>
            <a:t>• </a:t>
          </a:r>
          <a:r>
            <a:rPr lang="en-IN" sz="1100">
              <a:solidFill>
                <a:schemeClr val="dk1"/>
              </a:solidFill>
              <a:effectLst/>
              <a:latin typeface="+mn-lt"/>
              <a:ea typeface="+mn-ea"/>
              <a:cs typeface="+mn-cs"/>
            </a:rPr>
            <a:t>reported </a:t>
          </a:r>
          <a:r>
            <a:rPr lang="en-IN" sz="1100" b="0">
              <a:solidFill>
                <a:schemeClr val="dk1"/>
              </a:solidFill>
              <a:effectLst/>
              <a:latin typeface="+mn-lt"/>
              <a:ea typeface="+mn-ea"/>
              <a:cs typeface="+mn-cs"/>
            </a:rPr>
            <a:t>quarterly revenue of ₹45,479 crore and net profit of ₹6,666 crore</a:t>
          </a:r>
          <a:r>
            <a:rPr lang="en-IN" sz="1100">
              <a:solidFill>
                <a:schemeClr val="dk1"/>
              </a:solidFill>
              <a:effectLst/>
              <a:latin typeface="+mn-lt"/>
              <a:ea typeface="+mn-ea"/>
              <a:cs typeface="+mn-cs"/>
            </a:rPr>
            <a:t>, reflecting steady performance despite global IT spending uncertainty.</a:t>
          </a:r>
          <a:br>
            <a:rPr lang="en-IN" sz="1100">
              <a:solidFill>
                <a:schemeClr val="dk1"/>
              </a:solidFill>
              <a:effectLst/>
              <a:latin typeface="+mn-lt"/>
              <a:ea typeface="+mn-ea"/>
              <a:cs typeface="+mn-cs"/>
            </a:rPr>
          </a:br>
          <a:r>
            <a:rPr lang="en-IN" sz="1100">
              <a:solidFill>
                <a:schemeClr val="dk1"/>
              </a:solidFill>
              <a:effectLst/>
              <a:latin typeface="+mn-lt"/>
              <a:ea typeface="+mn-ea"/>
              <a:cs typeface="+mn-cs"/>
            </a:rPr>
            <a:t>The company maintained a strong </a:t>
          </a:r>
          <a:r>
            <a:rPr lang="en-IN" sz="1100" b="0">
              <a:solidFill>
                <a:schemeClr val="dk1"/>
              </a:solidFill>
              <a:effectLst/>
              <a:latin typeface="+mn-lt"/>
              <a:ea typeface="+mn-ea"/>
              <a:cs typeface="+mn-cs"/>
            </a:rPr>
            <a:t>operating margin of around 21% and EPS of ₹16.17</a:t>
          </a:r>
          <a:r>
            <a:rPr lang="en-IN" sz="1100">
              <a:solidFill>
                <a:schemeClr val="dk1"/>
              </a:solidFill>
              <a:effectLst/>
              <a:latin typeface="+mn-lt"/>
              <a:ea typeface="+mn-ea"/>
              <a:cs typeface="+mn-cs"/>
            </a:rPr>
            <a:t>, indicating stable profitability and efficient cost management.</a:t>
          </a:r>
          <a:endParaRPr lang="en-IN" sz="1200">
            <a:effectLst/>
          </a:endParaRPr>
        </a:p>
        <a:p>
          <a:pPr marL="0" marR="0" lvl="0" indent="0" defTabSz="914400" rtl="0" eaLnBrk="1" fontAlgn="auto" latinLnBrk="0" hangingPunct="1">
            <a:lnSpc>
              <a:spcPct val="100000"/>
            </a:lnSpc>
            <a:spcBef>
              <a:spcPts val="0"/>
            </a:spcBef>
            <a:spcAft>
              <a:spcPts val="0"/>
            </a:spcAft>
            <a:buClrTx/>
            <a:buSzTx/>
            <a:buFont typeface="Arial" panose="020B0604020202020204" pitchFamily="34" charset="0"/>
            <a:buNone/>
            <a:tabLst/>
            <a:defRPr/>
          </a:pPr>
          <a:br>
            <a:rPr lang="en-IN" sz="1200"/>
          </a:br>
          <a:br>
            <a:rPr lang="en-IN" sz="1200"/>
          </a:br>
          <a:endParaRPr lang="en-IN" sz="1200" b="0"/>
        </a:p>
      </xdr:txBody>
    </xdr:sp>
    <xdr:clientData/>
  </xdr:twoCellAnchor>
  <xdr:twoCellAnchor>
    <xdr:from>
      <xdr:col>2</xdr:col>
      <xdr:colOff>17371</xdr:colOff>
      <xdr:row>14</xdr:row>
      <xdr:rowOff>61172</xdr:rowOff>
    </xdr:from>
    <xdr:to>
      <xdr:col>4</xdr:col>
      <xdr:colOff>401744</xdr:colOff>
      <xdr:row>14</xdr:row>
      <xdr:rowOff>64483</xdr:rowOff>
    </xdr:to>
    <xdr:cxnSp macro="">
      <xdr:nvCxnSpPr>
        <xdr:cNvPr id="17" name="Straight Connector 16">
          <a:extLst>
            <a:ext uri="{FF2B5EF4-FFF2-40B4-BE49-F238E27FC236}">
              <a16:creationId xmlns:a16="http://schemas.microsoft.com/office/drawing/2014/main" id="{966FE09A-01BC-4062-B83F-58932D61A1C0}"/>
            </a:ext>
          </a:extLst>
        </xdr:cNvPr>
        <xdr:cNvCxnSpPr/>
      </xdr:nvCxnSpPr>
      <xdr:spPr>
        <a:xfrm flipV="1">
          <a:off x="3057751" y="3383492"/>
          <a:ext cx="1512133" cy="3311"/>
        </a:xfrm>
        <a:prstGeom prst="line">
          <a:avLst/>
        </a:prstGeom>
        <a:ln w="952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523465</xdr:colOff>
      <xdr:row>14</xdr:row>
      <xdr:rowOff>63077</xdr:rowOff>
    </xdr:from>
    <xdr:to>
      <xdr:col>8</xdr:col>
      <xdr:colOff>359410</xdr:colOff>
      <xdr:row>14</xdr:row>
      <xdr:rowOff>64483</xdr:rowOff>
    </xdr:to>
    <xdr:cxnSp macro="">
      <xdr:nvCxnSpPr>
        <xdr:cNvPr id="18" name="Straight Connector 17">
          <a:extLst>
            <a:ext uri="{FF2B5EF4-FFF2-40B4-BE49-F238E27FC236}">
              <a16:creationId xmlns:a16="http://schemas.microsoft.com/office/drawing/2014/main" id="{5A268665-8A7B-416C-BAEA-EE3A18BEC538}"/>
            </a:ext>
          </a:extLst>
        </xdr:cNvPr>
        <xdr:cNvCxnSpPr/>
      </xdr:nvCxnSpPr>
      <xdr:spPr>
        <a:xfrm flipV="1">
          <a:off x="5194525" y="3408257"/>
          <a:ext cx="2007645" cy="1406"/>
        </a:xfrm>
        <a:prstGeom prst="line">
          <a:avLst/>
        </a:prstGeom>
        <a:ln w="952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91666</xdr:colOff>
      <xdr:row>25</xdr:row>
      <xdr:rowOff>181609</xdr:rowOff>
    </xdr:from>
    <xdr:to>
      <xdr:col>1</xdr:col>
      <xdr:colOff>1760221</xdr:colOff>
      <xdr:row>25</xdr:row>
      <xdr:rowOff>183015</xdr:rowOff>
    </xdr:to>
    <xdr:cxnSp macro="">
      <xdr:nvCxnSpPr>
        <xdr:cNvPr id="19" name="Straight Connector 18">
          <a:extLst>
            <a:ext uri="{FF2B5EF4-FFF2-40B4-BE49-F238E27FC236}">
              <a16:creationId xmlns:a16="http://schemas.microsoft.com/office/drawing/2014/main" id="{CE97B9CE-F421-4D5F-A747-29E01832C80A}"/>
            </a:ext>
          </a:extLst>
        </xdr:cNvPr>
        <xdr:cNvCxnSpPr/>
      </xdr:nvCxnSpPr>
      <xdr:spPr>
        <a:xfrm flipV="1">
          <a:off x="221206" y="5538469"/>
          <a:ext cx="1668555" cy="1406"/>
        </a:xfrm>
        <a:prstGeom prst="line">
          <a:avLst/>
        </a:prstGeom>
        <a:ln w="952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11657</xdr:colOff>
      <xdr:row>25</xdr:row>
      <xdr:rowOff>182456</xdr:rowOff>
    </xdr:from>
    <xdr:to>
      <xdr:col>4</xdr:col>
      <xdr:colOff>415080</xdr:colOff>
      <xdr:row>25</xdr:row>
      <xdr:rowOff>182456</xdr:rowOff>
    </xdr:to>
    <xdr:cxnSp macro="">
      <xdr:nvCxnSpPr>
        <xdr:cNvPr id="20" name="Straight Connector 19">
          <a:extLst>
            <a:ext uri="{FF2B5EF4-FFF2-40B4-BE49-F238E27FC236}">
              <a16:creationId xmlns:a16="http://schemas.microsoft.com/office/drawing/2014/main" id="{1DFDF323-84C6-4DD5-B013-6D5145D11A53}"/>
            </a:ext>
          </a:extLst>
        </xdr:cNvPr>
        <xdr:cNvCxnSpPr/>
      </xdr:nvCxnSpPr>
      <xdr:spPr>
        <a:xfrm flipV="1">
          <a:off x="3052037" y="5333576"/>
          <a:ext cx="1881703" cy="0"/>
        </a:xfrm>
        <a:prstGeom prst="line">
          <a:avLst/>
        </a:prstGeom>
        <a:ln w="952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499971</xdr:colOff>
      <xdr:row>25</xdr:row>
      <xdr:rowOff>154304</xdr:rowOff>
    </xdr:from>
    <xdr:to>
      <xdr:col>8</xdr:col>
      <xdr:colOff>351156</xdr:colOff>
      <xdr:row>25</xdr:row>
      <xdr:rowOff>154304</xdr:rowOff>
    </xdr:to>
    <xdr:cxnSp macro="">
      <xdr:nvCxnSpPr>
        <xdr:cNvPr id="21" name="Straight Connector 20">
          <a:extLst>
            <a:ext uri="{FF2B5EF4-FFF2-40B4-BE49-F238E27FC236}">
              <a16:creationId xmlns:a16="http://schemas.microsoft.com/office/drawing/2014/main" id="{37652C79-5942-4557-8995-DF218DB7F628}"/>
            </a:ext>
          </a:extLst>
        </xdr:cNvPr>
        <xdr:cNvCxnSpPr/>
      </xdr:nvCxnSpPr>
      <xdr:spPr>
        <a:xfrm flipV="1">
          <a:off x="5171031" y="5511164"/>
          <a:ext cx="2022885" cy="0"/>
        </a:xfrm>
        <a:prstGeom prst="line">
          <a:avLst/>
        </a:prstGeom>
        <a:ln w="952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6</xdr:col>
      <xdr:colOff>133904</xdr:colOff>
      <xdr:row>2</xdr:row>
      <xdr:rowOff>25400</xdr:rowOff>
    </xdr:from>
    <xdr:to>
      <xdr:col>8</xdr:col>
      <xdr:colOff>58420</xdr:colOff>
      <xdr:row>5</xdr:row>
      <xdr:rowOff>53560</xdr:rowOff>
    </xdr:to>
    <xdr:pic>
      <xdr:nvPicPr>
        <xdr:cNvPr id="23" name="Picture 22" descr="Infosys Logo">
          <a:extLst>
            <a:ext uri="{FF2B5EF4-FFF2-40B4-BE49-F238E27FC236}">
              <a16:creationId xmlns:a16="http://schemas.microsoft.com/office/drawing/2014/main" id="{5639877E-C55F-4FDA-AD89-6EE2E778104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130844" y="391160"/>
          <a:ext cx="1402796" cy="805400"/>
        </a:xfrm>
        <a:prstGeom prst="rect">
          <a:avLst/>
        </a:prstGeom>
        <a:noFill/>
        <a:ln>
          <a:noFill/>
        </a:ln>
      </xdr:spPr>
    </xdr:pic>
    <xdr:clientData/>
  </xdr:twoCellAnchor>
  <xdr:twoCellAnchor>
    <xdr:from>
      <xdr:col>0</xdr:col>
      <xdr:colOff>541021</xdr:colOff>
      <xdr:row>85</xdr:row>
      <xdr:rowOff>53340</xdr:rowOff>
    </xdr:from>
    <xdr:to>
      <xdr:col>9</xdr:col>
      <xdr:colOff>38101</xdr:colOff>
      <xdr:row>90</xdr:row>
      <xdr:rowOff>39984</xdr:rowOff>
    </xdr:to>
    <xdr:sp macro="" textlink="">
      <xdr:nvSpPr>
        <xdr:cNvPr id="24" name="TextBox 23">
          <a:extLst>
            <a:ext uri="{FF2B5EF4-FFF2-40B4-BE49-F238E27FC236}">
              <a16:creationId xmlns:a16="http://schemas.microsoft.com/office/drawing/2014/main" id="{D239C8F3-EABB-437D-A421-3BAA824AB8BA}"/>
            </a:ext>
          </a:extLst>
        </xdr:cNvPr>
        <xdr:cNvSpPr txBox="1"/>
      </xdr:nvSpPr>
      <xdr:spPr>
        <a:xfrm>
          <a:off x="541021" y="16832580"/>
          <a:ext cx="6484620" cy="9010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 typeface="Arial" panose="020B0604020202020204" pitchFamily="34" charset="0"/>
            <a:buNone/>
            <a:tabLst/>
            <a:defRPr/>
          </a:pPr>
          <a:r>
            <a:rPr lang="en-IN" sz="900" b="0" i="1">
              <a:solidFill>
                <a:schemeClr val="bg2">
                  <a:lumMod val="50000"/>
                </a:schemeClr>
              </a:solidFill>
              <a:effectLst/>
              <a:latin typeface="+mn-lt"/>
              <a:ea typeface="+mn-ea"/>
              <a:cs typeface="+mn-cs"/>
            </a:rPr>
            <a:t>Disclaimer : </a:t>
          </a:r>
          <a:r>
            <a:rPr lang="en-IN" sz="900" b="0" i="1">
              <a:solidFill>
                <a:sysClr val="windowText" lastClr="000000"/>
              </a:solidFill>
              <a:effectLst/>
              <a:latin typeface="+mn-lt"/>
              <a:ea typeface="+mn-ea"/>
              <a:cs typeface="+mn-cs"/>
            </a:rPr>
            <a:t>This report is made as part</a:t>
          </a:r>
          <a:r>
            <a:rPr lang="en-IN" sz="900" b="0" i="1" baseline="0">
              <a:solidFill>
                <a:sysClr val="windowText" lastClr="000000"/>
              </a:solidFill>
              <a:effectLst/>
              <a:latin typeface="+mn-lt"/>
              <a:ea typeface="+mn-ea"/>
              <a:cs typeface="+mn-cs"/>
            </a:rPr>
            <a:t> of educational assignment and is meant for educational purpose only. The author of the report is not liable for any losses due to actions taken basis this report. It is advisable to consult SEBI registered reasearch analyst before making any investments.</a:t>
          </a:r>
          <a:endParaRPr lang="en-IN" sz="900" b="0" i="1">
            <a:solidFill>
              <a:sysClr val="windowText" lastClr="000000"/>
            </a:solidFill>
            <a:effectLst/>
            <a:latin typeface="+mn-lt"/>
            <a:ea typeface="+mn-ea"/>
            <a:cs typeface="+mn-cs"/>
          </a:endParaRPr>
        </a:p>
      </xdr:txBody>
    </xdr:sp>
    <xdr:clientData/>
  </xdr:twoCellAnchor>
  <xdr:twoCellAnchor>
    <xdr:from>
      <xdr:col>0</xdr:col>
      <xdr:colOff>457200</xdr:colOff>
      <xdr:row>15</xdr:row>
      <xdr:rowOff>160020</xdr:rowOff>
    </xdr:from>
    <xdr:to>
      <xdr:col>1</xdr:col>
      <xdr:colOff>1981200</xdr:colOff>
      <xdr:row>25</xdr:row>
      <xdr:rowOff>15240</xdr:rowOff>
    </xdr:to>
    <xdr:graphicFrame macro="">
      <xdr:nvGraphicFramePr>
        <xdr:cNvPr id="25" name="Chart 24">
          <a:extLst>
            <a:ext uri="{FF2B5EF4-FFF2-40B4-BE49-F238E27FC236}">
              <a16:creationId xmlns:a16="http://schemas.microsoft.com/office/drawing/2014/main" id="{47A99AA7-33BC-E93D-BD8E-8BD7CAC17A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2286000</xdr:colOff>
      <xdr:row>15</xdr:row>
      <xdr:rowOff>175260</xdr:rowOff>
    </xdr:from>
    <xdr:to>
      <xdr:col>4</xdr:col>
      <xdr:colOff>685800</xdr:colOff>
      <xdr:row>24</xdr:row>
      <xdr:rowOff>160020</xdr:rowOff>
    </xdr:to>
    <xdr:graphicFrame macro="">
      <xdr:nvGraphicFramePr>
        <xdr:cNvPr id="31" name="Chart 30">
          <a:extLst>
            <a:ext uri="{FF2B5EF4-FFF2-40B4-BE49-F238E27FC236}">
              <a16:creationId xmlns:a16="http://schemas.microsoft.com/office/drawing/2014/main" id="{33C4DDFF-5468-59E1-8FE1-7E0CB1A1FF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320040</xdr:colOff>
      <xdr:row>15</xdr:row>
      <xdr:rowOff>160020</xdr:rowOff>
    </xdr:from>
    <xdr:to>
      <xdr:col>8</xdr:col>
      <xdr:colOff>525780</xdr:colOff>
      <xdr:row>25</xdr:row>
      <xdr:rowOff>15240</xdr:rowOff>
    </xdr:to>
    <xdr:graphicFrame macro="">
      <xdr:nvGraphicFramePr>
        <xdr:cNvPr id="32" name="Chart 31">
          <a:extLst>
            <a:ext uri="{FF2B5EF4-FFF2-40B4-BE49-F238E27FC236}">
              <a16:creationId xmlns:a16="http://schemas.microsoft.com/office/drawing/2014/main" id="{5A5DF628-0C32-C7DF-A268-C7B7F9075D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304800</xdr:colOff>
      <xdr:row>27</xdr:row>
      <xdr:rowOff>15240</xdr:rowOff>
    </xdr:from>
    <xdr:to>
      <xdr:col>1</xdr:col>
      <xdr:colOff>2004060</xdr:colOff>
      <xdr:row>36</xdr:row>
      <xdr:rowOff>68580</xdr:rowOff>
    </xdr:to>
    <xdr:graphicFrame macro="">
      <xdr:nvGraphicFramePr>
        <xdr:cNvPr id="33" name="Chart 32">
          <a:extLst>
            <a:ext uri="{FF2B5EF4-FFF2-40B4-BE49-F238E27FC236}">
              <a16:creationId xmlns:a16="http://schemas.microsoft.com/office/drawing/2014/main" id="{1F074B04-08A0-D810-9F5F-D8962261FD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2270760</xdr:colOff>
      <xdr:row>27</xdr:row>
      <xdr:rowOff>68580</xdr:rowOff>
    </xdr:from>
    <xdr:to>
      <xdr:col>4</xdr:col>
      <xdr:colOff>678180</xdr:colOff>
      <xdr:row>36</xdr:row>
      <xdr:rowOff>76200</xdr:rowOff>
    </xdr:to>
    <xdr:graphicFrame macro="">
      <xdr:nvGraphicFramePr>
        <xdr:cNvPr id="34" name="Chart 33">
          <a:extLst>
            <a:ext uri="{FF2B5EF4-FFF2-40B4-BE49-F238E27FC236}">
              <a16:creationId xmlns:a16="http://schemas.microsoft.com/office/drawing/2014/main" id="{AD6F63DE-2022-2740-3C9A-899255D1FB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365760</xdr:colOff>
      <xdr:row>27</xdr:row>
      <xdr:rowOff>15240</xdr:rowOff>
    </xdr:from>
    <xdr:to>
      <xdr:col>8</xdr:col>
      <xdr:colOff>510540</xdr:colOff>
      <xdr:row>36</xdr:row>
      <xdr:rowOff>83820</xdr:rowOff>
    </xdr:to>
    <xdr:graphicFrame macro="">
      <xdr:nvGraphicFramePr>
        <xdr:cNvPr id="35" name="Chart 34">
          <a:extLst>
            <a:ext uri="{FF2B5EF4-FFF2-40B4-BE49-F238E27FC236}">
              <a16:creationId xmlns:a16="http://schemas.microsoft.com/office/drawing/2014/main" id="{2F454680-E2A9-4A75-78CF-4E52CE02A2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0</xdr:colOff>
      <xdr:row>14</xdr:row>
      <xdr:rowOff>53340</xdr:rowOff>
    </xdr:from>
    <xdr:to>
      <xdr:col>1</xdr:col>
      <xdr:colOff>1862653</xdr:colOff>
      <xdr:row>14</xdr:row>
      <xdr:rowOff>56651</xdr:rowOff>
    </xdr:to>
    <xdr:cxnSp macro="">
      <xdr:nvCxnSpPr>
        <xdr:cNvPr id="36" name="Straight Connector 35">
          <a:extLst>
            <a:ext uri="{FF2B5EF4-FFF2-40B4-BE49-F238E27FC236}">
              <a16:creationId xmlns:a16="http://schemas.microsoft.com/office/drawing/2014/main" id="{677626F4-1B9B-422F-ACD3-15D8108B6F45}"/>
            </a:ext>
          </a:extLst>
        </xdr:cNvPr>
        <xdr:cNvCxnSpPr/>
      </xdr:nvCxnSpPr>
      <xdr:spPr>
        <a:xfrm flipV="1">
          <a:off x="609600" y="3009900"/>
          <a:ext cx="1862653" cy="3311"/>
        </a:xfrm>
        <a:prstGeom prst="line">
          <a:avLst/>
        </a:prstGeom>
        <a:ln w="952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4ae7f8d1bd5ce291/Desktop/Inofsys%20FM/Infosys_ratio%20analysis.xlsx" TargetMode="External"/><Relationship Id="rId1" Type="http://schemas.openxmlformats.org/officeDocument/2006/relationships/externalLinkPath" Target="https://d.docs.live.net/4ae7f8d1bd5ce291/Desktop/Inofsys%20FM/Inofsys%20FM/Infosys_ratio%20analysi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rofit &amp; Loss"/>
      <sheetName val="Quarters"/>
      <sheetName val="Balance Sheet"/>
      <sheetName val="Cash Flow"/>
      <sheetName val="Financials&gt;"/>
      <sheetName val="Historical FS"/>
      <sheetName val="Ratio Analysis"/>
      <sheetName val="Data&gt;"/>
      <sheetName val="Data Sheet"/>
      <sheetName val="Cashflow Data"/>
    </sheetNames>
    <sheetDataSet>
      <sheetData sheetId="0" refreshError="1"/>
      <sheetData sheetId="1" refreshError="1"/>
      <sheetData sheetId="2" refreshError="1"/>
      <sheetData sheetId="3" refreshError="1"/>
      <sheetData sheetId="4" refreshError="1"/>
      <sheetData sheetId="5" refreshError="1">
        <row r="36">
          <cell r="C36">
            <v>459.39</v>
          </cell>
          <cell r="D36">
            <v>459.39</v>
          </cell>
          <cell r="E36">
            <v>436.82</v>
          </cell>
          <cell r="F36">
            <v>436.89</v>
          </cell>
          <cell r="G36">
            <v>425.9</v>
          </cell>
          <cell r="H36">
            <v>426.07</v>
          </cell>
          <cell r="I36">
            <v>420.67</v>
          </cell>
          <cell r="J36">
            <v>414.86</v>
          </cell>
          <cell r="K36">
            <v>415.09</v>
          </cell>
          <cell r="L36">
            <v>415.33</v>
          </cell>
        </row>
      </sheetData>
      <sheetData sheetId="6" refreshError="1"/>
      <sheetData sheetId="7" refreshError="1"/>
      <sheetData sheetId="8" refreshError="1">
        <row r="1">
          <cell r="B1" t="str">
            <v>INFOSYS LTD</v>
          </cell>
        </row>
        <row r="16">
          <cell r="B16">
            <v>42460</v>
          </cell>
          <cell r="C16">
            <v>42825</v>
          </cell>
          <cell r="D16">
            <v>43190</v>
          </cell>
          <cell r="E16">
            <v>43555</v>
          </cell>
          <cell r="F16">
            <v>43921</v>
          </cell>
          <cell r="G16">
            <v>44286</v>
          </cell>
          <cell r="H16">
            <v>44651</v>
          </cell>
          <cell r="I16">
            <v>45016</v>
          </cell>
          <cell r="J16">
            <v>45382</v>
          </cell>
          <cell r="K16">
            <v>45747</v>
          </cell>
        </row>
        <row r="17">
          <cell r="B17">
            <v>62441</v>
          </cell>
          <cell r="C17">
            <v>68484</v>
          </cell>
          <cell r="D17">
            <v>70522</v>
          </cell>
          <cell r="E17">
            <v>82675</v>
          </cell>
          <cell r="F17">
            <v>90791</v>
          </cell>
          <cell r="G17">
            <v>100472</v>
          </cell>
          <cell r="H17">
            <v>121641</v>
          </cell>
          <cell r="I17">
            <v>146767</v>
          </cell>
          <cell r="J17">
            <v>153670</v>
          </cell>
          <cell r="K17">
            <v>162990</v>
          </cell>
        </row>
        <row r="20">
          <cell r="B20">
            <v>217</v>
          </cell>
          <cell r="C20">
            <v>228</v>
          </cell>
          <cell r="D20">
            <v>207</v>
          </cell>
          <cell r="E20">
            <v>221</v>
          </cell>
          <cell r="F20">
            <v>229</v>
          </cell>
          <cell r="G20">
            <v>143</v>
          </cell>
          <cell r="H20">
            <v>132</v>
          </cell>
          <cell r="I20">
            <v>176</v>
          </cell>
          <cell r="J20">
            <v>199</v>
          </cell>
          <cell r="K20">
            <v>222</v>
          </cell>
        </row>
        <row r="21">
          <cell r="B21">
            <v>5860</v>
          </cell>
          <cell r="C21">
            <v>6712</v>
          </cell>
          <cell r="D21">
            <v>7286</v>
          </cell>
          <cell r="E21">
            <v>9902</v>
          </cell>
          <cell r="F21">
            <v>11086</v>
          </cell>
          <cell r="G21">
            <v>12800</v>
          </cell>
          <cell r="H21">
            <v>20690</v>
          </cell>
          <cell r="I21">
            <v>26330</v>
          </cell>
          <cell r="J21">
            <v>27195</v>
          </cell>
          <cell r="K21">
            <v>30395</v>
          </cell>
        </row>
        <row r="22">
          <cell r="B22">
            <v>34415</v>
          </cell>
          <cell r="C22">
            <v>37669</v>
          </cell>
          <cell r="D22">
            <v>38902</v>
          </cell>
          <cell r="E22">
            <v>45323</v>
          </cell>
          <cell r="F22">
            <v>50895</v>
          </cell>
          <cell r="G22">
            <v>55547</v>
          </cell>
          <cell r="H22">
            <v>63997</v>
          </cell>
          <cell r="I22">
            <v>78374</v>
          </cell>
          <cell r="J22">
            <v>82636</v>
          </cell>
          <cell r="K22">
            <v>85968</v>
          </cell>
        </row>
        <row r="23">
          <cell r="B23">
            <v>4441</v>
          </cell>
          <cell r="C23">
            <v>4584</v>
          </cell>
          <cell r="D23">
            <v>4585</v>
          </cell>
          <cell r="E23">
            <v>5553</v>
          </cell>
          <cell r="F23">
            <v>5375</v>
          </cell>
          <cell r="G23">
            <v>3194</v>
          </cell>
          <cell r="H23">
            <v>4305</v>
          </cell>
          <cell r="I23">
            <v>5300</v>
          </cell>
          <cell r="J23">
            <v>5705</v>
          </cell>
          <cell r="K23">
            <v>6039</v>
          </cell>
        </row>
        <row r="24">
          <cell r="B24">
            <v>429</v>
          </cell>
          <cell r="C24">
            <v>687</v>
          </cell>
          <cell r="D24">
            <v>720</v>
          </cell>
          <cell r="E24">
            <v>1506</v>
          </cell>
          <cell r="F24">
            <v>939</v>
          </cell>
          <cell r="G24">
            <v>899</v>
          </cell>
          <cell r="H24">
            <v>1026</v>
          </cell>
          <cell r="I24">
            <v>1457</v>
          </cell>
          <cell r="J24">
            <v>1510</v>
          </cell>
          <cell r="K24">
            <v>1130</v>
          </cell>
        </row>
        <row r="26">
          <cell r="B26">
            <v>1459</v>
          </cell>
          <cell r="C26">
            <v>1703</v>
          </cell>
          <cell r="D26">
            <v>1863</v>
          </cell>
          <cell r="E26">
            <v>2011</v>
          </cell>
          <cell r="F26">
            <v>2893</v>
          </cell>
          <cell r="G26">
            <v>3267</v>
          </cell>
          <cell r="H26">
            <v>3476</v>
          </cell>
          <cell r="I26">
            <v>4225</v>
          </cell>
          <cell r="J26">
            <v>4678</v>
          </cell>
          <cell r="K26">
            <v>4812</v>
          </cell>
        </row>
        <row r="27">
          <cell r="F27">
            <v>170</v>
          </cell>
          <cell r="G27">
            <v>195</v>
          </cell>
          <cell r="H27">
            <v>200</v>
          </cell>
          <cell r="I27">
            <v>284</v>
          </cell>
          <cell r="J27">
            <v>470</v>
          </cell>
          <cell r="K27">
            <v>416</v>
          </cell>
        </row>
        <row r="29">
          <cell r="B29">
            <v>5251</v>
          </cell>
          <cell r="C29">
            <v>5598</v>
          </cell>
          <cell r="D29">
            <v>4241</v>
          </cell>
          <cell r="E29">
            <v>5631</v>
          </cell>
          <cell r="F29">
            <v>5368</v>
          </cell>
          <cell r="G29">
            <v>7205</v>
          </cell>
          <cell r="H29">
            <v>7964</v>
          </cell>
          <cell r="I29">
            <v>9214</v>
          </cell>
          <cell r="J29">
            <v>9740</v>
          </cell>
          <cell r="K29">
            <v>10858</v>
          </cell>
        </row>
        <row r="31">
          <cell r="B31">
            <v>5548.4</v>
          </cell>
          <cell r="C31">
            <v>5891.6</v>
          </cell>
          <cell r="D31">
            <v>9465.6</v>
          </cell>
          <cell r="E31">
            <v>9222.5</v>
          </cell>
          <cell r="F31">
            <v>7427</v>
          </cell>
          <cell r="G31">
            <v>11469.6</v>
          </cell>
          <cell r="H31">
            <v>13007.6</v>
          </cell>
          <cell r="I31">
            <v>14069.2</v>
          </cell>
          <cell r="J31">
            <v>19053.2</v>
          </cell>
          <cell r="K31">
            <v>17827.8</v>
          </cell>
        </row>
        <row r="42">
          <cell r="H42">
            <v>40925</v>
          </cell>
          <cell r="I42">
            <v>42279</v>
          </cell>
          <cell r="J42">
            <v>44490</v>
          </cell>
          <cell r="K42">
            <v>45479</v>
          </cell>
        </row>
        <row r="43">
          <cell r="H43">
            <v>31051</v>
          </cell>
          <cell r="I43">
            <v>32336</v>
          </cell>
          <cell r="J43">
            <v>33955</v>
          </cell>
          <cell r="K43">
            <v>34845</v>
          </cell>
        </row>
        <row r="45">
          <cell r="H45">
            <v>1299</v>
          </cell>
          <cell r="I45">
            <v>1140</v>
          </cell>
          <cell r="J45">
            <v>1182</v>
          </cell>
          <cell r="K45">
            <v>1155</v>
          </cell>
        </row>
        <row r="46">
          <cell r="H46">
            <v>102</v>
          </cell>
          <cell r="I46">
            <v>105</v>
          </cell>
          <cell r="J46">
            <v>106</v>
          </cell>
          <cell r="K46">
            <v>100</v>
          </cell>
        </row>
        <row r="47">
          <cell r="H47">
            <v>9663</v>
          </cell>
          <cell r="I47">
            <v>9740</v>
          </cell>
          <cell r="J47">
            <v>10229</v>
          </cell>
          <cell r="K47">
            <v>9229</v>
          </cell>
        </row>
        <row r="48">
          <cell r="H48">
            <v>2625</v>
          </cell>
          <cell r="I48">
            <v>2816</v>
          </cell>
          <cell r="J48">
            <v>2854</v>
          </cell>
          <cell r="K48">
            <v>2563</v>
          </cell>
        </row>
        <row r="57">
          <cell r="B57">
            <v>1144</v>
          </cell>
          <cell r="C57">
            <v>1144</v>
          </cell>
          <cell r="D57">
            <v>1088</v>
          </cell>
          <cell r="E57">
            <v>2170</v>
          </cell>
          <cell r="F57">
            <v>2122</v>
          </cell>
          <cell r="G57">
            <v>2124</v>
          </cell>
          <cell r="H57">
            <v>2098</v>
          </cell>
          <cell r="I57">
            <v>2069</v>
          </cell>
          <cell r="J57">
            <v>2071</v>
          </cell>
          <cell r="K57">
            <v>2073</v>
          </cell>
        </row>
        <row r="58">
          <cell r="B58">
            <v>60600</v>
          </cell>
          <cell r="C58">
            <v>67838</v>
          </cell>
          <cell r="D58">
            <v>63835</v>
          </cell>
          <cell r="E58">
            <v>62778</v>
          </cell>
          <cell r="F58">
            <v>63328</v>
          </cell>
          <cell r="G58">
            <v>74227</v>
          </cell>
          <cell r="H58">
            <v>73252</v>
          </cell>
          <cell r="I58">
            <v>73338</v>
          </cell>
          <cell r="J58">
            <v>86045</v>
          </cell>
          <cell r="K58">
            <v>93745</v>
          </cell>
        </row>
        <row r="59">
          <cell r="F59">
            <v>4633</v>
          </cell>
          <cell r="G59">
            <v>5325</v>
          </cell>
          <cell r="H59">
            <v>5474</v>
          </cell>
          <cell r="I59">
            <v>8299</v>
          </cell>
          <cell r="J59">
            <v>8359</v>
          </cell>
          <cell r="K59">
            <v>8227</v>
          </cell>
        </row>
        <row r="60">
          <cell r="B60">
            <v>13354</v>
          </cell>
          <cell r="C60">
            <v>14166</v>
          </cell>
          <cell r="D60">
            <v>14426</v>
          </cell>
          <cell r="E60">
            <v>19118</v>
          </cell>
          <cell r="F60">
            <v>21717</v>
          </cell>
          <cell r="G60">
            <v>25835</v>
          </cell>
          <cell r="H60">
            <v>35905</v>
          </cell>
          <cell r="I60">
            <v>40890</v>
          </cell>
          <cell r="J60">
            <v>40885</v>
          </cell>
          <cell r="K60">
            <v>43750</v>
          </cell>
        </row>
        <row r="61">
          <cell r="B61">
            <v>75098</v>
          </cell>
          <cell r="C61">
            <v>83148</v>
          </cell>
          <cell r="D61">
            <v>79349</v>
          </cell>
          <cell r="E61">
            <v>84066</v>
          </cell>
          <cell r="F61">
            <v>91800</v>
          </cell>
          <cell r="G61">
            <v>107511</v>
          </cell>
          <cell r="H61">
            <v>116729</v>
          </cell>
          <cell r="I61">
            <v>124596</v>
          </cell>
          <cell r="J61">
            <v>137360</v>
          </cell>
          <cell r="K61">
            <v>147795</v>
          </cell>
        </row>
        <row r="62">
          <cell r="B62">
            <v>13386</v>
          </cell>
          <cell r="C62">
            <v>14179</v>
          </cell>
          <cell r="D62">
            <v>12574</v>
          </cell>
          <cell r="E62">
            <v>15710</v>
          </cell>
          <cell r="F62">
            <v>23789</v>
          </cell>
          <cell r="G62">
            <v>25505</v>
          </cell>
          <cell r="H62">
            <v>25800</v>
          </cell>
          <cell r="I62">
            <v>29225</v>
          </cell>
          <cell r="J62">
            <v>27622</v>
          </cell>
          <cell r="K62">
            <v>30961</v>
          </cell>
        </row>
        <row r="63">
          <cell r="B63">
            <v>960</v>
          </cell>
          <cell r="C63">
            <v>1365</v>
          </cell>
          <cell r="D63">
            <v>1606</v>
          </cell>
          <cell r="E63">
            <v>1388</v>
          </cell>
          <cell r="F63">
            <v>954</v>
          </cell>
          <cell r="G63">
            <v>922</v>
          </cell>
          <cell r="H63">
            <v>416</v>
          </cell>
          <cell r="I63">
            <v>288</v>
          </cell>
          <cell r="J63">
            <v>293</v>
          </cell>
          <cell r="K63">
            <v>814</v>
          </cell>
        </row>
        <row r="64">
          <cell r="B64">
            <v>1892</v>
          </cell>
          <cell r="C64">
            <v>16423</v>
          </cell>
          <cell r="D64">
            <v>12163</v>
          </cell>
          <cell r="E64">
            <v>11261</v>
          </cell>
          <cell r="F64">
            <v>8792</v>
          </cell>
          <cell r="G64">
            <v>14205</v>
          </cell>
          <cell r="H64">
            <v>20324</v>
          </cell>
          <cell r="I64">
            <v>19478</v>
          </cell>
          <cell r="J64">
            <v>24623</v>
          </cell>
          <cell r="K64">
            <v>23541</v>
          </cell>
        </row>
        <row r="65">
          <cell r="B65">
            <v>58860</v>
          </cell>
          <cell r="C65">
            <v>51181</v>
          </cell>
          <cell r="D65">
            <v>53006</v>
          </cell>
          <cell r="E65">
            <v>55707</v>
          </cell>
          <cell r="F65">
            <v>58265</v>
          </cell>
          <cell r="G65">
            <v>66879</v>
          </cell>
          <cell r="H65">
            <v>70189</v>
          </cell>
          <cell r="I65">
            <v>75605</v>
          </cell>
          <cell r="J65">
            <v>84822</v>
          </cell>
          <cell r="K65">
            <v>92479</v>
          </cell>
        </row>
        <row r="67">
          <cell r="B67">
            <v>11330</v>
          </cell>
          <cell r="C67">
            <v>12322</v>
          </cell>
          <cell r="D67">
            <v>13142</v>
          </cell>
          <cell r="E67">
            <v>14827</v>
          </cell>
          <cell r="F67">
            <v>18487</v>
          </cell>
          <cell r="G67">
            <v>19294</v>
          </cell>
          <cell r="H67">
            <v>22698</v>
          </cell>
          <cell r="I67">
            <v>25424</v>
          </cell>
          <cell r="J67">
            <v>30193</v>
          </cell>
          <cell r="K67">
            <v>31158</v>
          </cell>
        </row>
        <row r="69">
          <cell r="B69">
            <v>32697</v>
          </cell>
          <cell r="C69">
            <v>22625</v>
          </cell>
          <cell r="D69">
            <v>19818</v>
          </cell>
          <cell r="E69">
            <v>19568</v>
          </cell>
          <cell r="F69">
            <v>18649</v>
          </cell>
          <cell r="G69">
            <v>24714</v>
          </cell>
          <cell r="H69">
            <v>17472</v>
          </cell>
          <cell r="I69">
            <v>12173</v>
          </cell>
          <cell r="J69">
            <v>14786</v>
          </cell>
          <cell r="K69">
            <v>24455</v>
          </cell>
        </row>
        <row r="93">
          <cell r="B93">
            <v>459.39</v>
          </cell>
          <cell r="C93">
            <v>459.39</v>
          </cell>
          <cell r="D93">
            <v>436.82</v>
          </cell>
          <cell r="E93">
            <v>436.89</v>
          </cell>
          <cell r="F93">
            <v>425.9</v>
          </cell>
          <cell r="G93">
            <v>426.07</v>
          </cell>
          <cell r="H93">
            <v>420.67</v>
          </cell>
          <cell r="I93">
            <v>414.86</v>
          </cell>
          <cell r="J93">
            <v>415.09</v>
          </cell>
          <cell r="K93">
            <v>415.33</v>
          </cell>
        </row>
      </sheetData>
      <sheetData sheetId="9" refreshError="1">
        <row r="3">
          <cell r="C3">
            <v>17839</v>
          </cell>
          <cell r="D3">
            <v>19340</v>
          </cell>
          <cell r="E3">
            <v>19963</v>
          </cell>
          <cell r="F3">
            <v>22126</v>
          </cell>
          <cell r="G3">
            <v>23920</v>
          </cell>
          <cell r="H3">
            <v>28845</v>
          </cell>
          <cell r="I3">
            <v>32921</v>
          </cell>
          <cell r="J3">
            <v>37605</v>
          </cell>
          <cell r="K3">
            <v>39523</v>
          </cell>
          <cell r="L3">
            <v>41591</v>
          </cell>
        </row>
        <row r="4">
          <cell r="C4">
            <v>-1654</v>
          </cell>
          <cell r="D4">
            <v>-1743</v>
          </cell>
          <cell r="E4">
            <v>-1523</v>
          </cell>
          <cell r="F4">
            <v>-2881</v>
          </cell>
          <cell r="G4">
            <v>-3861</v>
          </cell>
          <cell r="H4">
            <v>-1835</v>
          </cell>
          <cell r="I4">
            <v>-7937</v>
          </cell>
          <cell r="J4">
            <v>-7076</v>
          </cell>
          <cell r="K4">
            <v>-2667</v>
          </cell>
          <cell r="L4">
            <v>-1769</v>
          </cell>
        </row>
        <row r="5">
          <cell r="C5">
            <v>242</v>
          </cell>
          <cell r="D5">
            <v>-19</v>
          </cell>
          <cell r="E5">
            <v>328</v>
          </cell>
          <cell r="F5">
            <v>916</v>
          </cell>
          <cell r="G5">
            <v>-373</v>
          </cell>
          <cell r="H5">
            <v>-245</v>
          </cell>
          <cell r="I5">
            <v>1489</v>
          </cell>
          <cell r="J5">
            <v>-279</v>
          </cell>
          <cell r="K5">
            <v>91</v>
          </cell>
          <cell r="L5">
            <v>176</v>
          </cell>
        </row>
        <row r="6">
          <cell r="C6">
            <v>-1134</v>
          </cell>
          <cell r="D6">
            <v>0</v>
          </cell>
          <cell r="E6">
            <v>0</v>
          </cell>
          <cell r="F6">
            <v>0</v>
          </cell>
          <cell r="G6">
            <v>0</v>
          </cell>
          <cell r="H6">
            <v>-534</v>
          </cell>
          <cell r="I6">
            <v>-1914</v>
          </cell>
          <cell r="J6">
            <v>-3108</v>
          </cell>
          <cell r="K6">
            <v>-1172</v>
          </cell>
          <cell r="L6">
            <v>-1024</v>
          </cell>
        </row>
        <row r="7">
          <cell r="C7">
            <v>600</v>
          </cell>
          <cell r="D7">
            <v>-394</v>
          </cell>
          <cell r="E7">
            <v>1279</v>
          </cell>
          <cell r="F7">
            <v>1512</v>
          </cell>
          <cell r="G7">
            <v>1867</v>
          </cell>
          <cell r="H7">
            <v>3382</v>
          </cell>
          <cell r="I7">
            <v>6938</v>
          </cell>
          <cell r="J7">
            <v>4119</v>
          </cell>
          <cell r="K7">
            <v>-1334</v>
          </cell>
          <cell r="L7">
            <v>2322</v>
          </cell>
        </row>
        <row r="8">
          <cell r="C8">
            <v>-1946</v>
          </cell>
          <cell r="D8">
            <v>-2156</v>
          </cell>
          <cell r="E8">
            <v>84</v>
          </cell>
          <cell r="F8">
            <v>-453</v>
          </cell>
          <cell r="G8">
            <v>-2367</v>
          </cell>
          <cell r="H8">
            <v>768</v>
          </cell>
          <cell r="I8">
            <v>-1424</v>
          </cell>
          <cell r="J8">
            <v>-6344</v>
          </cell>
          <cell r="K8">
            <v>-5082</v>
          </cell>
          <cell r="L8">
            <v>-295</v>
          </cell>
        </row>
        <row r="9">
          <cell r="C9">
            <v>-5865</v>
          </cell>
          <cell r="D9">
            <v>-5653</v>
          </cell>
          <cell r="E9">
            <v>-6829</v>
          </cell>
          <cell r="F9">
            <v>-6832</v>
          </cell>
          <cell r="G9">
            <v>-4550</v>
          </cell>
          <cell r="H9">
            <v>-6389</v>
          </cell>
          <cell r="I9">
            <v>-7612</v>
          </cell>
          <cell r="J9">
            <v>-8794</v>
          </cell>
          <cell r="K9">
            <v>-9231</v>
          </cell>
          <cell r="L9">
            <v>-5602</v>
          </cell>
        </row>
        <row r="10">
          <cell r="C10">
            <v>-885</v>
          </cell>
          <cell r="D10">
            <v>-14664</v>
          </cell>
          <cell r="E10">
            <v>4533</v>
          </cell>
          <cell r="F10">
            <v>-632</v>
          </cell>
          <cell r="G10">
            <v>-331</v>
          </cell>
          <cell r="H10">
            <v>-7373</v>
          </cell>
          <cell r="I10">
            <v>-6485</v>
          </cell>
          <cell r="J10">
            <v>-1071</v>
          </cell>
          <cell r="K10">
            <v>-5093</v>
          </cell>
          <cell r="L10">
            <v>-1864</v>
          </cell>
        </row>
        <row r="11">
          <cell r="C11">
            <v>-2723</v>
          </cell>
          <cell r="D11">
            <v>-2760</v>
          </cell>
          <cell r="E11">
            <v>-1998</v>
          </cell>
          <cell r="F11">
            <v>-2445</v>
          </cell>
          <cell r="G11">
            <v>-3307</v>
          </cell>
          <cell r="H11">
            <v>-2107</v>
          </cell>
          <cell r="I11">
            <v>-2161</v>
          </cell>
          <cell r="J11">
            <v>-2579</v>
          </cell>
          <cell r="K11">
            <v>-2201</v>
          </cell>
          <cell r="L11">
            <v>-2237</v>
          </cell>
        </row>
        <row r="12">
          <cell r="C12">
            <v>0</v>
          </cell>
          <cell r="D12">
            <v>0</v>
          </cell>
          <cell r="E12">
            <v>0</v>
          </cell>
          <cell r="F12">
            <v>0</v>
          </cell>
          <cell r="G12">
            <v>0</v>
          </cell>
          <cell r="H12">
            <v>0</v>
          </cell>
          <cell r="I12">
            <v>0</v>
          </cell>
          <cell r="J12">
            <v>0</v>
          </cell>
          <cell r="K12">
            <v>0</v>
          </cell>
          <cell r="L12">
            <v>0</v>
          </cell>
        </row>
        <row r="13">
          <cell r="C13">
            <v>-24577</v>
          </cell>
          <cell r="D13">
            <v>-66410</v>
          </cell>
          <cell r="E13">
            <v>-69159</v>
          </cell>
          <cell r="F13">
            <v>-79410</v>
          </cell>
          <cell r="G13">
            <v>-37482</v>
          </cell>
          <cell r="H13">
            <v>-46738</v>
          </cell>
          <cell r="I13">
            <v>-59951</v>
          </cell>
          <cell r="J13">
            <v>-75800</v>
          </cell>
          <cell r="K13">
            <v>-78118</v>
          </cell>
          <cell r="L13">
            <v>-82753</v>
          </cell>
        </row>
        <row r="14">
          <cell r="C14">
            <v>24980</v>
          </cell>
          <cell r="D14">
            <v>52048</v>
          </cell>
          <cell r="E14">
            <v>74003</v>
          </cell>
          <cell r="F14">
            <v>78098</v>
          </cell>
          <cell r="G14">
            <v>38861</v>
          </cell>
          <cell r="H14">
            <v>40381</v>
          </cell>
          <cell r="I14">
            <v>57356</v>
          </cell>
          <cell r="J14">
            <v>76722</v>
          </cell>
          <cell r="K14">
            <v>72956</v>
          </cell>
          <cell r="L14">
            <v>84888</v>
          </cell>
        </row>
        <row r="15">
          <cell r="C15">
            <v>2383</v>
          </cell>
          <cell r="D15">
            <v>0</v>
          </cell>
          <cell r="E15">
            <v>0</v>
          </cell>
          <cell r="F15">
            <v>0</v>
          </cell>
          <cell r="G15">
            <v>0</v>
          </cell>
          <cell r="H15">
            <v>0</v>
          </cell>
          <cell r="I15">
            <v>0</v>
          </cell>
          <cell r="J15">
            <v>0</v>
          </cell>
          <cell r="K15">
            <v>0</v>
          </cell>
          <cell r="L15">
            <v>0</v>
          </cell>
        </row>
        <row r="16">
          <cell r="C16">
            <v>0</v>
          </cell>
          <cell r="D16">
            <v>2753</v>
          </cell>
          <cell r="E16">
            <v>1768</v>
          </cell>
          <cell r="F16">
            <v>1557</v>
          </cell>
          <cell r="G16">
            <v>1929</v>
          </cell>
          <cell r="H16">
            <v>1418</v>
          </cell>
          <cell r="I16">
            <v>1898</v>
          </cell>
          <cell r="J16">
            <v>1525</v>
          </cell>
          <cell r="K16">
            <v>1768</v>
          </cell>
          <cell r="L16">
            <v>2040</v>
          </cell>
        </row>
        <row r="17">
          <cell r="C17">
            <v>-747</v>
          </cell>
          <cell r="D17">
            <v>0</v>
          </cell>
          <cell r="E17">
            <v>0</v>
          </cell>
          <cell r="F17">
            <v>0</v>
          </cell>
          <cell r="G17">
            <v>0</v>
          </cell>
          <cell r="H17">
            <v>0</v>
          </cell>
          <cell r="I17">
            <v>0</v>
          </cell>
          <cell r="J17">
            <v>0</v>
          </cell>
          <cell r="K17">
            <v>0</v>
          </cell>
          <cell r="L17">
            <v>0</v>
          </cell>
        </row>
        <row r="18">
          <cell r="C18">
            <v>-142</v>
          </cell>
          <cell r="D18">
            <v>-164</v>
          </cell>
          <cell r="E18">
            <v>-130</v>
          </cell>
          <cell r="F18">
            <v>-24</v>
          </cell>
          <cell r="G18">
            <v>-108</v>
          </cell>
          <cell r="H18">
            <v>0</v>
          </cell>
          <cell r="I18">
            <v>0</v>
          </cell>
          <cell r="J18">
            <v>0</v>
          </cell>
          <cell r="K18">
            <v>0</v>
          </cell>
          <cell r="L18">
            <v>0</v>
          </cell>
        </row>
        <row r="19">
          <cell r="C19">
            <v>-59</v>
          </cell>
          <cell r="D19">
            <v>-131</v>
          </cell>
          <cell r="E19">
            <v>49</v>
          </cell>
          <cell r="F19">
            <v>1592</v>
          </cell>
          <cell r="G19">
            <v>-224</v>
          </cell>
          <cell r="H19">
            <v>-327</v>
          </cell>
          <cell r="I19">
            <v>-3627</v>
          </cell>
          <cell r="J19">
            <v>-939</v>
          </cell>
          <cell r="K19">
            <v>502</v>
          </cell>
          <cell r="L19">
            <v>-3802</v>
          </cell>
        </row>
        <row r="21">
          <cell r="C21">
            <v>0</v>
          </cell>
          <cell r="D21">
            <v>0</v>
          </cell>
          <cell r="E21">
            <v>5</v>
          </cell>
          <cell r="F21">
            <v>6</v>
          </cell>
          <cell r="G21">
            <v>6</v>
          </cell>
          <cell r="H21">
            <v>15</v>
          </cell>
          <cell r="I21">
            <v>21</v>
          </cell>
          <cell r="J21">
            <v>35</v>
          </cell>
          <cell r="K21">
            <v>5</v>
          </cell>
          <cell r="L21">
            <v>6</v>
          </cell>
        </row>
        <row r="22">
          <cell r="C22">
            <v>0</v>
          </cell>
          <cell r="D22">
            <v>0</v>
          </cell>
          <cell r="E22">
            <v>0</v>
          </cell>
          <cell r="F22">
            <v>0</v>
          </cell>
          <cell r="G22">
            <v>0</v>
          </cell>
          <cell r="H22">
            <v>0</v>
          </cell>
          <cell r="I22">
            <v>0</v>
          </cell>
          <cell r="J22">
            <v>0</v>
          </cell>
          <cell r="K22">
            <v>0</v>
          </cell>
          <cell r="L22">
            <v>-985</v>
          </cell>
        </row>
        <row r="23">
          <cell r="C23">
            <v>-6813</v>
          </cell>
          <cell r="D23">
            <v>-6939</v>
          </cell>
          <cell r="E23">
            <v>-7464</v>
          </cell>
          <cell r="F23">
            <v>-13705</v>
          </cell>
          <cell r="G23">
            <v>-9548</v>
          </cell>
          <cell r="H23">
            <v>-9137</v>
          </cell>
          <cell r="I23">
            <v>-12731</v>
          </cell>
          <cell r="J23">
            <v>-13653</v>
          </cell>
          <cell r="K23">
            <v>-14731</v>
          </cell>
          <cell r="L23">
            <v>-20289</v>
          </cell>
        </row>
        <row r="24">
          <cell r="C24">
            <v>0</v>
          </cell>
          <cell r="D24">
            <v>0</v>
          </cell>
          <cell r="E24">
            <v>0</v>
          </cell>
          <cell r="F24">
            <v>0</v>
          </cell>
          <cell r="G24">
            <v>-571</v>
          </cell>
          <cell r="H24">
            <v>-698</v>
          </cell>
          <cell r="I24">
            <v>-915</v>
          </cell>
          <cell r="J24">
            <v>-1231</v>
          </cell>
          <cell r="K24">
            <v>-2024</v>
          </cell>
          <cell r="L24">
            <v>-2355</v>
          </cell>
        </row>
        <row r="25">
          <cell r="C25">
            <v>0</v>
          </cell>
          <cell r="D25">
            <v>0</v>
          </cell>
          <cell r="E25">
            <v>-13046</v>
          </cell>
          <cell r="F25">
            <v>-813</v>
          </cell>
          <cell r="G25">
            <v>-7478</v>
          </cell>
          <cell r="H25">
            <v>34</v>
          </cell>
          <cell r="I25">
            <v>-11017</v>
          </cell>
          <cell r="J25">
            <v>-11846</v>
          </cell>
          <cell r="K25">
            <v>-754</v>
          </cell>
          <cell r="L25">
            <v>-538</v>
          </cell>
        </row>
      </sheetData>
    </sheetDataSet>
  </externalBook>
</externalLink>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Office Theme">
  <a:themeElements>
    <a:clrScheme name="Orange">
      <a:dk1>
        <a:srgbClr val="000000"/>
      </a:dk1>
      <a:lt1>
        <a:sysClr val="window" lastClr="FFFFFF"/>
      </a:lt1>
      <a:dk2>
        <a:srgbClr val="637052"/>
      </a:dk2>
      <a:lt2>
        <a:srgbClr val="CCDDEA"/>
      </a:lt2>
      <a:accent1>
        <a:srgbClr val="E48312"/>
      </a:accent1>
      <a:accent2>
        <a:srgbClr val="BD582C"/>
      </a:accent2>
      <a:accent3>
        <a:srgbClr val="865640"/>
      </a:accent3>
      <a:accent4>
        <a:srgbClr val="9B8357"/>
      </a:accent4>
      <a:accent5>
        <a:srgbClr val="C2BC80"/>
      </a:accent5>
      <a:accent6>
        <a:srgbClr val="94A088"/>
      </a:accent6>
      <a:hlink>
        <a:srgbClr val="2998E3"/>
      </a:hlink>
      <a:folHlink>
        <a:srgbClr val="8C8C8C"/>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Grunge Texture">
      <a:fillStyleLst>
        <a:solidFill>
          <a:schemeClr val="phClr"/>
        </a:solidFill>
        <a:blipFill rotWithShape="1">
          <a:blip xmlns:r="http://schemas.openxmlformats.org/officeDocument/2006/relationships" r:embed="rId1">
            <a:duotone>
              <a:schemeClr val="phClr">
                <a:tint val="67000"/>
                <a:shade val="65000"/>
              </a:schemeClr>
              <a:schemeClr val="phClr">
                <a:tint val="10000"/>
                <a:satMod val="130000"/>
              </a:schemeClr>
            </a:duotone>
          </a:blip>
          <a:tile tx="0" ty="0" sx="60000" sy="59000" flip="none" algn="b"/>
        </a:blipFill>
        <a:blipFill rotWithShape="1">
          <a:blip xmlns:r="http://schemas.openxmlformats.org/officeDocument/2006/relationships" r:embed="rId1">
            <a:duotone>
              <a:schemeClr val="phClr">
                <a:shade val="30000"/>
                <a:satMod val="115000"/>
              </a:schemeClr>
              <a:schemeClr val="phClr">
                <a:tint val="34000"/>
              </a:schemeClr>
            </a:duotone>
          </a:blip>
          <a:tile tx="0" ty="0" sx="60000" sy="59000" flip="none" algn="b"/>
        </a:blipFill>
      </a:fillStyleLst>
      <a:lnStyleLst>
        <a:ln w="6350" cap="flat" cmpd="sng" algn="ctr">
          <a:solidFill>
            <a:schemeClr val="phClr">
              <a:tint val="70000"/>
            </a:schemeClr>
          </a:solidFill>
          <a:prstDash val="solid"/>
        </a:ln>
        <a:ln w="12700"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softEdge rad="12700"/>
          </a:effectLst>
        </a:effectStyle>
        <a:effectStyle>
          <a:effectLst>
            <a:outerShdw blurRad="50800" dist="19050" dir="5400000" algn="tl" rotWithShape="0">
              <a:srgbClr val="000000">
                <a:alpha val="60000"/>
              </a:srgbClr>
            </a:outerShdw>
            <a:softEdge rad="12700"/>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2.xml.rels><?xml version="1.0" encoding="UTF-8" standalone="yes"?>
<Relationships xmlns="http://schemas.openxmlformats.org/package/2006/relationships"><Relationship Id="rId1" Type="http://schemas.openxmlformats.org/officeDocument/2006/relationships/hyperlink" Target="https://www.screener.in/exce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EE31D1-ED8C-467C-A6D9-9838006918AC}">
  <sheetPr>
    <tabColor rgb="FF002060"/>
  </sheetPr>
  <dimension ref="A1"/>
  <sheetViews>
    <sheetView showGridLines="0" workbookViewId="0">
      <selection activeCell="Q28" sqref="Q28"/>
    </sheetView>
  </sheetViews>
  <sheetFormatPr defaultRowHeight="14.4" x14ac:dyDescent="0.3"/>
  <cols>
    <col min="1" max="1" width="1.88671875" customWidth="1"/>
  </cols>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AC9BB6-F162-4529-80A3-1D24AB16B185}">
  <dimension ref="B2:M43"/>
  <sheetViews>
    <sheetView showGridLines="0" zoomScale="80" zoomScaleNormal="80" workbookViewId="0">
      <selection activeCell="L14" sqref="L14"/>
    </sheetView>
  </sheetViews>
  <sheetFormatPr defaultRowHeight="14.4" x14ac:dyDescent="0.3"/>
  <cols>
    <col min="1" max="1" width="1.88671875" customWidth="1"/>
    <col min="2" max="2" width="21.33203125" customWidth="1"/>
    <col min="4" max="4" width="10.6640625" bestFit="1" customWidth="1"/>
    <col min="5" max="5" width="11.88671875" bestFit="1" customWidth="1"/>
    <col min="6" max="6" width="10" bestFit="1" customWidth="1"/>
    <col min="9" max="9" width="9.44140625" bestFit="1" customWidth="1"/>
    <col min="10" max="10" width="14.44140625" bestFit="1" customWidth="1"/>
    <col min="11" max="11" width="14.33203125" bestFit="1" customWidth="1"/>
    <col min="13" max="13" width="20.21875" bestFit="1" customWidth="1"/>
  </cols>
  <sheetData>
    <row r="2" spans="2:10" ht="18" x14ac:dyDescent="0.35">
      <c r="B2" s="201" t="s">
        <v>127</v>
      </c>
      <c r="C2" s="202"/>
      <c r="D2" s="202"/>
      <c r="E2" s="202"/>
      <c r="F2" s="203"/>
      <c r="G2" s="203"/>
      <c r="H2" s="203"/>
      <c r="I2" s="203"/>
      <c r="J2" s="203"/>
    </row>
    <row r="4" spans="2:10" x14ac:dyDescent="0.3">
      <c r="B4" s="33" t="s">
        <v>128</v>
      </c>
    </row>
    <row r="6" spans="2:10" x14ac:dyDescent="0.3">
      <c r="B6" s="25" t="s">
        <v>129</v>
      </c>
    </row>
    <row r="7" spans="2:10" x14ac:dyDescent="0.3">
      <c r="B7" s="34"/>
      <c r="C7" s="34"/>
      <c r="D7" s="34"/>
      <c r="E7" s="34"/>
      <c r="F7" s="35"/>
      <c r="G7" s="35" t="s">
        <v>130</v>
      </c>
      <c r="H7" s="35" t="s">
        <v>130</v>
      </c>
      <c r="I7" s="35" t="s">
        <v>131</v>
      </c>
      <c r="J7" s="35" t="s">
        <v>132</v>
      </c>
    </row>
    <row r="8" spans="2:10" ht="16.2" x14ac:dyDescent="0.3">
      <c r="B8" s="36" t="s">
        <v>117</v>
      </c>
      <c r="C8" s="36" t="s">
        <v>133</v>
      </c>
      <c r="D8" s="37" t="s">
        <v>134</v>
      </c>
      <c r="E8" s="37" t="s">
        <v>135</v>
      </c>
      <c r="F8" s="37" t="s">
        <v>162</v>
      </c>
      <c r="G8" s="37" t="s">
        <v>136</v>
      </c>
      <c r="H8" s="37" t="s">
        <v>137</v>
      </c>
      <c r="I8" s="37" t="s">
        <v>163</v>
      </c>
      <c r="J8" s="37" t="s">
        <v>164</v>
      </c>
    </row>
    <row r="9" spans="2:10" x14ac:dyDescent="0.3">
      <c r="B9" s="38"/>
      <c r="C9" s="38"/>
      <c r="D9" s="38"/>
      <c r="E9" s="38"/>
      <c r="F9" s="38"/>
      <c r="G9" s="38"/>
      <c r="H9" s="38"/>
      <c r="I9" s="38"/>
      <c r="J9" s="38"/>
    </row>
    <row r="10" spans="2:10" x14ac:dyDescent="0.3">
      <c r="B10" s="39" t="s">
        <v>123</v>
      </c>
      <c r="C10" s="39" t="s">
        <v>139</v>
      </c>
      <c r="D10" s="40">
        <f>'Beta- Comparison'!F3</f>
        <v>8796</v>
      </c>
      <c r="E10" s="40">
        <f>'Beta- Comparison'!E3</f>
        <v>530607.37</v>
      </c>
      <c r="F10" s="41">
        <v>0.27</v>
      </c>
      <c r="G10" s="68">
        <f>D10/E10</f>
        <v>1.6577229223182482E-2</v>
      </c>
      <c r="H10" s="68">
        <f>D10/SUM(D10:E10)</f>
        <v>1.630690590605691E-2</v>
      </c>
      <c r="I10" s="42">
        <f>'Beta - Regression'!K10</f>
        <v>0.83494575132609961</v>
      </c>
      <c r="J10" s="69">
        <f>I10/(1+(1-F10)*G10)</f>
        <v>0.82496256800513212</v>
      </c>
    </row>
    <row r="11" spans="2:10" x14ac:dyDescent="0.3">
      <c r="B11" s="39" t="s">
        <v>122</v>
      </c>
      <c r="C11" s="39" t="s">
        <v>139</v>
      </c>
      <c r="D11" s="40">
        <f>'Beta- Comparison'!F4</f>
        <v>10932</v>
      </c>
      <c r="E11" s="40">
        <f>'Beta- Comparison'!E4</f>
        <v>925362.06</v>
      </c>
      <c r="F11" s="41">
        <v>0.27</v>
      </c>
      <c r="G11" s="68">
        <f t="shared" ref="G11:G14" si="0">D11/E11</f>
        <v>1.181375428337747E-2</v>
      </c>
      <c r="H11" s="68">
        <f t="shared" ref="H11:H14" si="1">D11/SUM(D11:E11)</f>
        <v>1.1675819026343069E-2</v>
      </c>
      <c r="I11" s="42">
        <v>0.6</v>
      </c>
      <c r="J11" s="69">
        <f t="shared" ref="J11:J14" si="2">I11/(1+(1-F11)*G11)</f>
        <v>0.59486981851740961</v>
      </c>
    </row>
    <row r="12" spans="2:10" x14ac:dyDescent="0.3">
      <c r="B12" s="39" t="s">
        <v>124</v>
      </c>
      <c r="C12" s="39" t="s">
        <v>139</v>
      </c>
      <c r="D12" s="40">
        <f>'Beta- Comparison'!F5</f>
        <v>6780</v>
      </c>
      <c r="E12" s="40">
        <f>'Beta- Comparison'!E5</f>
        <v>368162.94</v>
      </c>
      <c r="F12" s="41">
        <v>0.27</v>
      </c>
      <c r="G12" s="68">
        <f t="shared" si="0"/>
        <v>1.8415759065809285E-2</v>
      </c>
      <c r="H12" s="68">
        <f t="shared" si="1"/>
        <v>1.8082751471463897E-2</v>
      </c>
      <c r="I12" s="42">
        <v>0.62</v>
      </c>
      <c r="J12" s="69">
        <f t="shared" si="2"/>
        <v>0.61177559230552392</v>
      </c>
    </row>
    <row r="13" spans="2:10" x14ac:dyDescent="0.3">
      <c r="B13" s="39" t="s">
        <v>125</v>
      </c>
      <c r="C13" s="39" t="s">
        <v>139</v>
      </c>
      <c r="D13" s="40">
        <f>'Beta- Comparison'!F6</f>
        <v>16163.7</v>
      </c>
      <c r="E13" s="40">
        <f>'Beta- Comparison'!E6</f>
        <v>204936.45</v>
      </c>
      <c r="F13" s="41">
        <v>0.27</v>
      </c>
      <c r="G13" s="68">
        <f t="shared" si="0"/>
        <v>7.8871767321040259E-2</v>
      </c>
      <c r="H13" s="68">
        <f t="shared" si="1"/>
        <v>7.3105784867174436E-2</v>
      </c>
      <c r="I13" s="42">
        <v>0.9</v>
      </c>
      <c r="J13" s="69">
        <f t="shared" si="2"/>
        <v>0.8510023563188186</v>
      </c>
    </row>
    <row r="14" spans="2:10" x14ac:dyDescent="0.3">
      <c r="B14" s="39" t="s">
        <v>126</v>
      </c>
      <c r="C14" s="39" t="s">
        <v>139</v>
      </c>
      <c r="D14" s="40">
        <f>'Beta- Comparison'!F7</f>
        <v>1954.4</v>
      </c>
      <c r="E14" s="40">
        <f>'Beta- Comparison'!E7</f>
        <v>130477.26</v>
      </c>
      <c r="F14" s="41">
        <v>0.27</v>
      </c>
      <c r="G14" s="68">
        <f t="shared" si="0"/>
        <v>1.4978855319310048E-2</v>
      </c>
      <c r="H14" s="68">
        <f t="shared" si="1"/>
        <v>1.475780036284375E-2</v>
      </c>
      <c r="I14" s="42">
        <v>1.06</v>
      </c>
      <c r="J14" s="69">
        <f t="shared" si="2"/>
        <v>1.0485347294924525</v>
      </c>
    </row>
    <row r="15" spans="2:10" x14ac:dyDescent="0.3">
      <c r="F15" s="43"/>
    </row>
    <row r="16" spans="2:10" x14ac:dyDescent="0.3">
      <c r="E16" s="44" t="s">
        <v>140</v>
      </c>
      <c r="F16" s="45">
        <f>AVERAGE(F10:F14)</f>
        <v>0.27</v>
      </c>
      <c r="G16" s="45">
        <f t="shared" ref="G16:I16" si="3">AVERAGE(G10:G14)</f>
        <v>2.813147304254391E-2</v>
      </c>
      <c r="H16" s="45">
        <f t="shared" si="3"/>
        <v>2.6785812326776411E-2</v>
      </c>
      <c r="I16" s="87">
        <f t="shared" si="3"/>
        <v>0.80298915026521978</v>
      </c>
      <c r="J16" s="87">
        <f>AVERAGE(J10:J14)</f>
        <v>0.78622901292786751</v>
      </c>
    </row>
    <row r="17" spans="2:13" x14ac:dyDescent="0.3">
      <c r="E17" s="46" t="s">
        <v>141</v>
      </c>
      <c r="F17" s="47">
        <f>MEDIAN(F10:F14)</f>
        <v>0.27</v>
      </c>
      <c r="G17" s="47">
        <f t="shared" ref="G17:I17" si="4">MEDIAN(G10:G14)</f>
        <v>1.6577229223182482E-2</v>
      </c>
      <c r="H17" s="47">
        <f t="shared" si="4"/>
        <v>1.630690590605691E-2</v>
      </c>
      <c r="I17" s="88">
        <f t="shared" si="4"/>
        <v>0.83494575132609961</v>
      </c>
      <c r="J17" s="88">
        <f>MEDIAN(J10:J14)</f>
        <v>0.82496256800513212</v>
      </c>
    </row>
    <row r="18" spans="2:13" x14ac:dyDescent="0.3">
      <c r="G18" s="48"/>
    </row>
    <row r="19" spans="2:13" x14ac:dyDescent="0.3">
      <c r="G19" s="48"/>
    </row>
    <row r="20" spans="2:13" x14ac:dyDescent="0.3">
      <c r="B20" s="46" t="s">
        <v>142</v>
      </c>
      <c r="C20" s="49"/>
      <c r="D20" s="49"/>
      <c r="E20" s="49"/>
      <c r="G20" s="46" t="s">
        <v>143</v>
      </c>
      <c r="H20" s="49"/>
      <c r="I20" s="49"/>
      <c r="J20" s="49"/>
    </row>
    <row r="21" spans="2:13" x14ac:dyDescent="0.3">
      <c r="B21" s="48"/>
      <c r="G21" s="48"/>
    </row>
    <row r="22" spans="2:13" x14ac:dyDescent="0.3">
      <c r="B22" t="s">
        <v>144</v>
      </c>
      <c r="E22" s="50">
        <f>284/8796</f>
        <v>3.2287403365165987E-2</v>
      </c>
      <c r="G22" t="s">
        <v>145</v>
      </c>
      <c r="J22" s="51">
        <v>6.7199999999999996E-2</v>
      </c>
      <c r="M22" s="189"/>
    </row>
    <row r="23" spans="2:13" x14ac:dyDescent="0.3">
      <c r="B23" t="s">
        <v>146</v>
      </c>
      <c r="E23" s="43">
        <f>F17</f>
        <v>0.27</v>
      </c>
      <c r="G23" t="s">
        <v>147</v>
      </c>
      <c r="J23" s="52">
        <f>'Market Return'!G6-WACC!J22</f>
        <v>0.10509090909090911</v>
      </c>
    </row>
    <row r="24" spans="2:13" ht="16.2" x14ac:dyDescent="0.3">
      <c r="B24" s="53" t="s">
        <v>148</v>
      </c>
      <c r="C24" s="53"/>
      <c r="D24" s="53"/>
      <c r="E24" s="54">
        <f>E22*(1-E23)</f>
        <v>2.356980445657117E-2</v>
      </c>
      <c r="G24" t="s">
        <v>165</v>
      </c>
      <c r="J24" s="55">
        <f>J33</f>
        <v>0.84153756634183241</v>
      </c>
    </row>
    <row r="25" spans="2:13" x14ac:dyDescent="0.3">
      <c r="G25" s="53" t="s">
        <v>143</v>
      </c>
      <c r="H25" s="53"/>
      <c r="I25" s="53"/>
      <c r="J25" s="56">
        <f>J22+J23*J24</f>
        <v>0.1556379478810144</v>
      </c>
    </row>
    <row r="28" spans="2:13" x14ac:dyDescent="0.3">
      <c r="B28" s="46" t="s">
        <v>149</v>
      </c>
      <c r="C28" s="49"/>
      <c r="D28" s="49"/>
      <c r="E28" s="49"/>
      <c r="G28" s="46" t="s">
        <v>150</v>
      </c>
      <c r="H28" s="49"/>
      <c r="I28" s="49"/>
      <c r="J28" s="49"/>
    </row>
    <row r="29" spans="2:13" x14ac:dyDescent="0.3">
      <c r="G29" s="25"/>
    </row>
    <row r="30" spans="2:13" x14ac:dyDescent="0.3">
      <c r="D30" s="57" t="s">
        <v>151</v>
      </c>
      <c r="E30" s="57" t="s">
        <v>152</v>
      </c>
      <c r="G30" s="48" t="s">
        <v>153</v>
      </c>
      <c r="J30" s="48">
        <f>J17</f>
        <v>0.82496256800513212</v>
      </c>
    </row>
    <row r="31" spans="2:13" x14ac:dyDescent="0.3">
      <c r="B31" t="s">
        <v>134</v>
      </c>
      <c r="C31" s="40">
        <f>D10</f>
        <v>8796</v>
      </c>
      <c r="D31" s="58">
        <f>C31/$C$33</f>
        <v>1.630690590605691E-2</v>
      </c>
      <c r="E31" s="59">
        <f>H16</f>
        <v>2.6785812326776411E-2</v>
      </c>
      <c r="G31" t="s">
        <v>154</v>
      </c>
      <c r="J31" s="60">
        <f>E35</f>
        <v>2.7523039291912063E-2</v>
      </c>
    </row>
    <row r="32" spans="2:13" x14ac:dyDescent="0.3">
      <c r="B32" t="s">
        <v>9</v>
      </c>
      <c r="C32" s="40">
        <f>E10</f>
        <v>530607.37</v>
      </c>
      <c r="D32" s="58">
        <f>C32/$C$33</f>
        <v>0.98369309409394312</v>
      </c>
      <c r="E32" s="43">
        <f>E33-E31</f>
        <v>0.97321418767322354</v>
      </c>
      <c r="G32" t="s">
        <v>146</v>
      </c>
      <c r="J32" s="43">
        <f>E23</f>
        <v>0.27</v>
      </c>
    </row>
    <row r="33" spans="2:12" x14ac:dyDescent="0.3">
      <c r="B33" t="s">
        <v>155</v>
      </c>
      <c r="C33" s="89">
        <f>SUM(C31:C32)</f>
        <v>539403.37</v>
      </c>
      <c r="D33" s="61">
        <f>C33/$C$33</f>
        <v>1</v>
      </c>
      <c r="E33" s="62">
        <f>D33</f>
        <v>1</v>
      </c>
      <c r="G33" s="53" t="s">
        <v>156</v>
      </c>
      <c r="H33" s="53"/>
      <c r="I33" s="53"/>
      <c r="J33" s="63">
        <f>J30*(1+(1-J32)*J31)</f>
        <v>0.84153756634183241</v>
      </c>
      <c r="L33" s="58"/>
    </row>
    <row r="35" spans="2:12" x14ac:dyDescent="0.3">
      <c r="B35" t="s">
        <v>157</v>
      </c>
      <c r="D35" s="64">
        <f>D31/D32</f>
        <v>1.6577229223182482E-2</v>
      </c>
      <c r="E35" s="64">
        <f>E31/E32</f>
        <v>2.7523039291912063E-2</v>
      </c>
      <c r="G35" s="46" t="s">
        <v>127</v>
      </c>
      <c r="H35" s="49"/>
      <c r="I35" s="49"/>
      <c r="J35" s="49"/>
    </row>
    <row r="36" spans="2:12" x14ac:dyDescent="0.3">
      <c r="G36" s="48"/>
    </row>
    <row r="37" spans="2:12" x14ac:dyDescent="0.3">
      <c r="B37" s="65" t="s">
        <v>158</v>
      </c>
      <c r="I37" s="57" t="s">
        <v>209</v>
      </c>
      <c r="J37" s="57" t="s">
        <v>210</v>
      </c>
    </row>
    <row r="38" spans="2:12" x14ac:dyDescent="0.3">
      <c r="B38" s="65" t="s">
        <v>159</v>
      </c>
      <c r="G38" t="s">
        <v>211</v>
      </c>
      <c r="I38" s="43">
        <f>E24</f>
        <v>2.356980445657117E-2</v>
      </c>
      <c r="J38" s="43">
        <f>E31</f>
        <v>2.6785812326776411E-2</v>
      </c>
      <c r="K38" s="43"/>
    </row>
    <row r="39" spans="2:12" x14ac:dyDescent="0.3">
      <c r="B39" s="65" t="s">
        <v>160</v>
      </c>
      <c r="G39" t="s">
        <v>136</v>
      </c>
      <c r="I39" s="43">
        <f>J25</f>
        <v>0.1556379478810144</v>
      </c>
      <c r="J39" s="43">
        <f>E32</f>
        <v>0.97321418767322354</v>
      </c>
      <c r="K39" s="43"/>
    </row>
    <row r="40" spans="2:12" x14ac:dyDescent="0.3">
      <c r="B40" s="65" t="s">
        <v>202</v>
      </c>
      <c r="G40" s="97" t="s">
        <v>161</v>
      </c>
      <c r="H40" s="53"/>
      <c r="I40" s="53"/>
      <c r="J40" s="54">
        <f>SUMPRODUCT(I38:I39,J38:J39)</f>
        <v>0.15210039537690148</v>
      </c>
    </row>
    <row r="41" spans="2:12" x14ac:dyDescent="0.3">
      <c r="J41" s="43"/>
    </row>
    <row r="43" spans="2:12" x14ac:dyDescent="0.3">
      <c r="G43" s="95"/>
      <c r="H43" s="95"/>
      <c r="I43" s="95"/>
      <c r="J43" s="96"/>
    </row>
  </sheetData>
  <dataValidations count="1">
    <dataValidation allowBlank="1" showInputMessage="1" showErrorMessage="1" promptTitle="Interest/total debt" prompt="interest from the P&amp;L" sqref="E22" xr:uid="{18B97E36-E83A-42A2-9F35-19CFFB3570D0}"/>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8E8254-0FC4-4A26-9347-08EAE9323ECB}">
  <dimension ref="B2:G7"/>
  <sheetViews>
    <sheetView showGridLines="0" workbookViewId="0">
      <selection activeCell="E16" sqref="E16"/>
    </sheetView>
  </sheetViews>
  <sheetFormatPr defaultRowHeight="14.4" x14ac:dyDescent="0.3"/>
  <cols>
    <col min="1" max="1" width="1.88671875" customWidth="1"/>
    <col min="3" max="3" width="15.44140625" bestFit="1" customWidth="1"/>
    <col min="4" max="4" width="7.6640625" bestFit="1" customWidth="1"/>
    <col min="5" max="5" width="13.21875" bestFit="1" customWidth="1"/>
    <col min="6" max="6" width="10.109375" bestFit="1" customWidth="1"/>
    <col min="7" max="7" width="8.5546875" bestFit="1" customWidth="1"/>
  </cols>
  <sheetData>
    <row r="2" spans="2:7" x14ac:dyDescent="0.3">
      <c r="B2" s="72" t="s">
        <v>116</v>
      </c>
      <c r="C2" s="72" t="s">
        <v>117</v>
      </c>
      <c r="D2" t="s">
        <v>118</v>
      </c>
      <c r="E2" t="s">
        <v>119</v>
      </c>
      <c r="F2" t="s">
        <v>120</v>
      </c>
      <c r="G2" t="s">
        <v>121</v>
      </c>
    </row>
    <row r="3" spans="2:7" x14ac:dyDescent="0.3">
      <c r="B3" s="72">
        <v>1</v>
      </c>
      <c r="C3" s="72" t="s">
        <v>123</v>
      </c>
      <c r="D3">
        <v>1308.4000000000001</v>
      </c>
      <c r="E3">
        <v>530607.37</v>
      </c>
      <c r="F3">
        <v>8796</v>
      </c>
      <c r="G3">
        <v>0.11</v>
      </c>
    </row>
    <row r="4" spans="2:7" x14ac:dyDescent="0.3">
      <c r="B4" s="72">
        <v>2</v>
      </c>
      <c r="C4" s="72" t="s">
        <v>122</v>
      </c>
      <c r="D4">
        <v>2557.6</v>
      </c>
      <c r="E4">
        <v>925362.06</v>
      </c>
      <c r="F4">
        <v>10932</v>
      </c>
      <c r="G4">
        <v>0.1</v>
      </c>
    </row>
    <row r="5" spans="2:7" x14ac:dyDescent="0.3">
      <c r="B5" s="72">
        <v>3</v>
      </c>
      <c r="C5" s="72" t="s">
        <v>124</v>
      </c>
      <c r="D5">
        <v>1356.7</v>
      </c>
      <c r="E5">
        <v>368162.94</v>
      </c>
      <c r="F5">
        <v>6780</v>
      </c>
      <c r="G5">
        <v>0.1</v>
      </c>
    </row>
    <row r="6" spans="2:7" x14ac:dyDescent="0.3">
      <c r="B6" s="72">
        <v>4</v>
      </c>
      <c r="C6" s="72" t="s">
        <v>125</v>
      </c>
      <c r="D6">
        <v>195.4</v>
      </c>
      <c r="E6">
        <v>204936.45</v>
      </c>
      <c r="F6">
        <v>16163.7</v>
      </c>
      <c r="G6">
        <v>0.19</v>
      </c>
    </row>
    <row r="7" spans="2:7" x14ac:dyDescent="0.3">
      <c r="B7" s="72">
        <v>5</v>
      </c>
      <c r="C7" s="72" t="s">
        <v>126</v>
      </c>
      <c r="D7">
        <v>1331.7</v>
      </c>
      <c r="E7">
        <v>130477.26</v>
      </c>
      <c r="F7">
        <v>1954.4</v>
      </c>
      <c r="G7">
        <v>7.0000000000000007E-2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ED46FF-D6FD-4055-8179-B79E486744CC}">
  <dimension ref="B2:U110"/>
  <sheetViews>
    <sheetView showGridLines="0" zoomScale="80" zoomScaleNormal="80" workbookViewId="0">
      <selection activeCell="K10" sqref="K10"/>
    </sheetView>
  </sheetViews>
  <sheetFormatPr defaultRowHeight="14.4" x14ac:dyDescent="0.3"/>
  <cols>
    <col min="1" max="1" width="1.88671875" customWidth="1"/>
    <col min="2" max="2" width="12.109375" customWidth="1"/>
    <col min="3" max="3" width="11.5546875" bestFit="1" customWidth="1"/>
    <col min="5" max="5" width="2.33203125" customWidth="1"/>
    <col min="6" max="6" width="10.33203125" bestFit="1" customWidth="1"/>
    <col min="7" max="7" width="11.5546875" bestFit="1" customWidth="1"/>
    <col min="10" max="10" width="17.5546875" bestFit="1" customWidth="1"/>
    <col min="11" max="11" width="10.77734375" customWidth="1"/>
    <col min="13" max="13" width="17.44140625" bestFit="1" customWidth="1"/>
    <col min="14" max="14" width="12.6640625" bestFit="1" customWidth="1"/>
    <col min="15" max="15" width="14.109375" bestFit="1" customWidth="1"/>
    <col min="17" max="17" width="12" bestFit="1" customWidth="1"/>
    <col min="18" max="18" width="13" customWidth="1"/>
    <col min="19" max="19" width="12" bestFit="1" customWidth="1"/>
    <col min="20" max="20" width="12.6640625" bestFit="1" customWidth="1"/>
    <col min="21" max="21" width="12.21875" bestFit="1" customWidth="1"/>
  </cols>
  <sheetData>
    <row r="2" spans="2:18" x14ac:dyDescent="0.3">
      <c r="B2" s="211" t="s">
        <v>178</v>
      </c>
      <c r="C2" s="211"/>
      <c r="D2" s="211"/>
      <c r="E2" s="76"/>
      <c r="F2" s="211" t="s">
        <v>166</v>
      </c>
      <c r="G2" s="211"/>
      <c r="H2" s="211"/>
      <c r="J2" s="211" t="s">
        <v>170</v>
      </c>
      <c r="K2" s="211"/>
      <c r="M2" t="s">
        <v>176</v>
      </c>
      <c r="N2" s="85">
        <f>SLOPE(D6:D108,H6:H108)</f>
        <v>0.77992766843479922</v>
      </c>
    </row>
    <row r="3" spans="2:18" x14ac:dyDescent="0.3">
      <c r="N3" s="86"/>
    </row>
    <row r="4" spans="2:18" x14ac:dyDescent="0.3">
      <c r="B4" s="70" t="s">
        <v>167</v>
      </c>
      <c r="C4" s="71" t="s">
        <v>168</v>
      </c>
      <c r="D4" s="71" t="s">
        <v>169</v>
      </c>
      <c r="E4" s="79"/>
      <c r="F4" s="80" t="s">
        <v>167</v>
      </c>
      <c r="G4" s="71" t="s">
        <v>168</v>
      </c>
      <c r="H4" s="71" t="s">
        <v>169</v>
      </c>
      <c r="J4" s="72" t="s">
        <v>171</v>
      </c>
      <c r="K4" s="48">
        <f>N4</f>
        <v>0.77992766843479944</v>
      </c>
      <c r="M4" t="s">
        <v>138</v>
      </c>
      <c r="N4" s="85">
        <f>N23</f>
        <v>0.77992766843479944</v>
      </c>
    </row>
    <row r="5" spans="2:18" x14ac:dyDescent="0.3">
      <c r="B5" s="78">
        <v>45362</v>
      </c>
      <c r="C5" s="77">
        <v>1538.39</v>
      </c>
      <c r="D5" s="81"/>
      <c r="E5" s="75"/>
      <c r="F5" s="78">
        <v>45362</v>
      </c>
      <c r="G5" s="77">
        <v>22023.35</v>
      </c>
      <c r="J5" t="s">
        <v>172</v>
      </c>
      <c r="K5" s="43">
        <v>0.75</v>
      </c>
    </row>
    <row r="6" spans="2:18" x14ac:dyDescent="0.3">
      <c r="B6" s="78">
        <v>45369</v>
      </c>
      <c r="C6" s="77">
        <v>1420.56</v>
      </c>
      <c r="D6" s="81">
        <f>C6/C5-1</f>
        <v>-7.6593061577363453E-2</v>
      </c>
      <c r="E6" s="75"/>
      <c r="F6" s="78">
        <v>45369</v>
      </c>
      <c r="G6" s="77">
        <v>22096.75</v>
      </c>
      <c r="H6" s="58">
        <f>G6/G5-1</f>
        <v>3.3328262957270649E-3</v>
      </c>
      <c r="M6" s="49" t="s">
        <v>177</v>
      </c>
    </row>
    <row r="7" spans="2:18" ht="15" thickBot="1" x14ac:dyDescent="0.35">
      <c r="B7" s="78">
        <v>45376</v>
      </c>
      <c r="C7" s="77">
        <v>1410.39</v>
      </c>
      <c r="D7" s="81">
        <f t="shared" ref="D7:D70" si="0">C7/C6-1</f>
        <v>-7.1591485048149162E-3</v>
      </c>
      <c r="E7" s="75"/>
      <c r="F7" s="78">
        <v>45376</v>
      </c>
      <c r="G7" s="77">
        <v>22326.9</v>
      </c>
      <c r="H7" s="58">
        <f t="shared" ref="H7:H70" si="1">G7/G6-1</f>
        <v>1.0415558849152129E-2</v>
      </c>
      <c r="J7" t="s">
        <v>173</v>
      </c>
      <c r="K7">
        <v>1</v>
      </c>
    </row>
    <row r="8" spans="2:18" x14ac:dyDescent="0.3">
      <c r="B8" s="78">
        <v>45383</v>
      </c>
      <c r="C8" s="77">
        <v>1392.55</v>
      </c>
      <c r="D8" s="81">
        <f t="shared" si="0"/>
        <v>-1.2648983614461318E-2</v>
      </c>
      <c r="E8" s="75"/>
      <c r="F8" s="78">
        <v>45383</v>
      </c>
      <c r="G8" s="77">
        <v>22513.7</v>
      </c>
      <c r="H8" s="58">
        <f t="shared" si="1"/>
        <v>8.3665891816597782E-3</v>
      </c>
      <c r="J8" t="s">
        <v>174</v>
      </c>
      <c r="K8" s="43">
        <v>0.25</v>
      </c>
      <c r="M8" s="84" t="s">
        <v>179</v>
      </c>
      <c r="N8" s="84"/>
    </row>
    <row r="9" spans="2:18" x14ac:dyDescent="0.3">
      <c r="B9" s="78">
        <v>45390</v>
      </c>
      <c r="C9" s="77">
        <v>1397.87</v>
      </c>
      <c r="D9" s="81">
        <f t="shared" si="0"/>
        <v>3.8203296111449792E-3</v>
      </c>
      <c r="E9" s="75"/>
      <c r="F9" s="78">
        <v>45390</v>
      </c>
      <c r="G9" s="77">
        <v>22519.4</v>
      </c>
      <c r="H9" s="58">
        <f t="shared" si="1"/>
        <v>2.5317917534661838E-4</v>
      </c>
      <c r="M9" t="s">
        <v>180</v>
      </c>
      <c r="N9">
        <v>0.37482518814960525</v>
      </c>
    </row>
    <row r="10" spans="2:18" x14ac:dyDescent="0.3">
      <c r="B10" s="78">
        <v>45397</v>
      </c>
      <c r="C10" s="77">
        <v>1328.67</v>
      </c>
      <c r="D10" s="81">
        <f t="shared" si="0"/>
        <v>-4.9503888058259893E-2</v>
      </c>
      <c r="E10" s="75"/>
      <c r="F10" s="78">
        <v>45397</v>
      </c>
      <c r="G10" s="77">
        <v>22147</v>
      </c>
      <c r="H10" s="58">
        <f t="shared" si="1"/>
        <v>-1.6536852669254087E-2</v>
      </c>
      <c r="J10" s="73" t="s">
        <v>175</v>
      </c>
      <c r="K10" s="74">
        <f>(K4*K5)+(K7*K8)</f>
        <v>0.83494575132609961</v>
      </c>
      <c r="M10" t="s">
        <v>181</v>
      </c>
      <c r="N10">
        <v>0.140493921671387</v>
      </c>
    </row>
    <row r="11" spans="2:18" x14ac:dyDescent="0.3">
      <c r="B11" s="78">
        <v>45404</v>
      </c>
      <c r="C11" s="77">
        <v>1346.56</v>
      </c>
      <c r="D11" s="81">
        <f t="shared" si="0"/>
        <v>1.3464592411960741E-2</v>
      </c>
      <c r="E11" s="75"/>
      <c r="F11" s="78">
        <v>45404</v>
      </c>
      <c r="G11" s="77">
        <v>22419.95</v>
      </c>
      <c r="H11" s="58">
        <f t="shared" si="1"/>
        <v>1.2324468325281002E-2</v>
      </c>
      <c r="M11" t="s">
        <v>182</v>
      </c>
      <c r="N11">
        <v>0.13198396049981656</v>
      </c>
    </row>
    <row r="12" spans="2:18" x14ac:dyDescent="0.3">
      <c r="B12" s="78">
        <v>45411</v>
      </c>
      <c r="C12" s="77">
        <v>1333.43</v>
      </c>
      <c r="D12" s="81">
        <f t="shared" si="0"/>
        <v>-9.7507723384029354E-3</v>
      </c>
      <c r="E12" s="75"/>
      <c r="F12" s="78">
        <v>45411</v>
      </c>
      <c r="G12" s="77">
        <v>22475.85</v>
      </c>
      <c r="H12" s="58">
        <f t="shared" si="1"/>
        <v>2.4933151055197555E-3</v>
      </c>
      <c r="M12" t="s">
        <v>183</v>
      </c>
      <c r="N12">
        <v>3.3521078564208995E-2</v>
      </c>
    </row>
    <row r="13" spans="2:18" ht="15" thickBot="1" x14ac:dyDescent="0.35">
      <c r="B13" s="78">
        <v>45418</v>
      </c>
      <c r="C13" s="77">
        <v>1341.52</v>
      </c>
      <c r="D13" s="81">
        <f t="shared" si="0"/>
        <v>6.0670601381398459E-3</v>
      </c>
      <c r="E13" s="75"/>
      <c r="F13" s="78">
        <v>45418</v>
      </c>
      <c r="G13" s="77">
        <v>22055.200000000001</v>
      </c>
      <c r="H13" s="58">
        <f t="shared" si="1"/>
        <v>-1.8715643679771743E-2</v>
      </c>
      <c r="M13" s="82" t="s">
        <v>184</v>
      </c>
      <c r="N13" s="82">
        <v>103</v>
      </c>
    </row>
    <row r="14" spans="2:18" x14ac:dyDescent="0.3">
      <c r="B14" s="78">
        <v>45425</v>
      </c>
      <c r="C14" s="77">
        <v>1359.17</v>
      </c>
      <c r="D14" s="81">
        <f t="shared" si="0"/>
        <v>1.315671775299676E-2</v>
      </c>
      <c r="E14" s="75"/>
      <c r="F14" s="78">
        <v>45425</v>
      </c>
      <c r="G14" s="77">
        <v>22466.1</v>
      </c>
      <c r="H14" s="58">
        <f t="shared" si="1"/>
        <v>1.8630527041241907E-2</v>
      </c>
    </row>
    <row r="15" spans="2:18" ht="15" thickBot="1" x14ac:dyDescent="0.35">
      <c r="B15" s="78">
        <v>45432</v>
      </c>
      <c r="C15" s="77">
        <v>1379.37</v>
      </c>
      <c r="D15" s="81">
        <f t="shared" si="0"/>
        <v>1.4862011374588757E-2</v>
      </c>
      <c r="E15" s="75"/>
      <c r="F15" s="78">
        <v>45432</v>
      </c>
      <c r="G15" s="77">
        <v>22957.1</v>
      </c>
      <c r="H15" s="58">
        <f t="shared" si="1"/>
        <v>2.1855150649200406E-2</v>
      </c>
      <c r="M15" t="s">
        <v>185</v>
      </c>
    </row>
    <row r="16" spans="2:18" x14ac:dyDescent="0.3">
      <c r="B16" s="78">
        <v>45439</v>
      </c>
      <c r="C16" s="77">
        <v>1324.58</v>
      </c>
      <c r="D16" s="81">
        <f t="shared" si="0"/>
        <v>-3.9721032065363149E-2</v>
      </c>
      <c r="E16" s="75"/>
      <c r="F16" s="78">
        <v>45439</v>
      </c>
      <c r="G16" s="77">
        <v>22530.7</v>
      </c>
      <c r="H16" s="58">
        <f t="shared" si="1"/>
        <v>-1.8573774562117951E-2</v>
      </c>
      <c r="M16" s="83"/>
      <c r="N16" s="83" t="s">
        <v>189</v>
      </c>
      <c r="O16" s="83" t="s">
        <v>190</v>
      </c>
      <c r="P16" s="83" t="s">
        <v>191</v>
      </c>
      <c r="Q16" s="83" t="s">
        <v>192</v>
      </c>
      <c r="R16" s="83" t="s">
        <v>193</v>
      </c>
    </row>
    <row r="17" spans="2:21" x14ac:dyDescent="0.3">
      <c r="B17" s="78">
        <v>45446</v>
      </c>
      <c r="C17" s="77">
        <v>1472.75</v>
      </c>
      <c r="D17" s="81">
        <f t="shared" si="0"/>
        <v>0.11186187319754182</v>
      </c>
      <c r="E17" s="75"/>
      <c r="F17" s="78">
        <v>45446</v>
      </c>
      <c r="G17" s="77">
        <v>23290.15</v>
      </c>
      <c r="H17" s="58">
        <f t="shared" si="1"/>
        <v>3.3707341538434354E-2</v>
      </c>
      <c r="M17" t="s">
        <v>186</v>
      </c>
      <c r="N17">
        <v>1</v>
      </c>
      <c r="O17">
        <v>1.855094016472851E-2</v>
      </c>
      <c r="P17">
        <v>1.855094016472851E-2</v>
      </c>
      <c r="Q17">
        <v>16.509349318859499</v>
      </c>
      <c r="R17">
        <v>9.5858109952727197E-5</v>
      </c>
    </row>
    <row r="18" spans="2:21" x14ac:dyDescent="0.3">
      <c r="B18" s="78">
        <v>45453</v>
      </c>
      <c r="C18" s="77">
        <v>1429.82</v>
      </c>
      <c r="D18" s="81">
        <f t="shared" si="0"/>
        <v>-2.9149550161262971E-2</v>
      </c>
      <c r="E18" s="75"/>
      <c r="F18" s="78">
        <v>45453</v>
      </c>
      <c r="G18" s="77">
        <v>23465.599999999999</v>
      </c>
      <c r="H18" s="58">
        <f t="shared" si="1"/>
        <v>7.5332275661599279E-3</v>
      </c>
      <c r="M18" t="s">
        <v>187</v>
      </c>
      <c r="N18">
        <v>101</v>
      </c>
      <c r="O18">
        <v>0.11348993351889504</v>
      </c>
      <c r="P18">
        <v>1.1236627081078717E-3</v>
      </c>
    </row>
    <row r="19" spans="2:21" ht="15" thickBot="1" x14ac:dyDescent="0.35">
      <c r="B19" s="78">
        <v>45460</v>
      </c>
      <c r="C19" s="77">
        <v>1471.89</v>
      </c>
      <c r="D19" s="81">
        <f t="shared" si="0"/>
        <v>2.9423284049740595E-2</v>
      </c>
      <c r="E19" s="75"/>
      <c r="F19" s="78">
        <v>45460</v>
      </c>
      <c r="G19" s="77">
        <v>23501.1</v>
      </c>
      <c r="H19" s="58">
        <f t="shared" si="1"/>
        <v>1.5128528569481325E-3</v>
      </c>
      <c r="M19" s="82" t="s">
        <v>35</v>
      </c>
      <c r="N19" s="82">
        <v>102</v>
      </c>
      <c r="O19" s="82">
        <v>0.13204087368362355</v>
      </c>
      <c r="P19" s="82"/>
      <c r="Q19" s="82"/>
      <c r="R19" s="82"/>
    </row>
    <row r="20" spans="2:21" ht="15" thickBot="1" x14ac:dyDescent="0.35">
      <c r="B20" s="78">
        <v>45467</v>
      </c>
      <c r="C20" s="77">
        <v>1504.58</v>
      </c>
      <c r="D20" s="81">
        <f t="shared" si="0"/>
        <v>2.220954011508991E-2</v>
      </c>
      <c r="E20" s="75"/>
      <c r="F20" s="78">
        <v>45467</v>
      </c>
      <c r="G20" s="77">
        <v>24010.6</v>
      </c>
      <c r="H20" s="58">
        <f t="shared" si="1"/>
        <v>2.1679836262983532E-2</v>
      </c>
    </row>
    <row r="21" spans="2:21" x14ac:dyDescent="0.3">
      <c r="B21" s="78">
        <v>45474</v>
      </c>
      <c r="C21" s="77">
        <v>1582.08</v>
      </c>
      <c r="D21" s="81">
        <f t="shared" si="0"/>
        <v>5.1509391325153864E-2</v>
      </c>
      <c r="E21" s="75"/>
      <c r="F21" s="78">
        <v>45474</v>
      </c>
      <c r="G21" s="77">
        <v>24323.85</v>
      </c>
      <c r="H21" s="58">
        <f t="shared" si="1"/>
        <v>1.3046321208133094E-2</v>
      </c>
      <c r="M21" s="83"/>
      <c r="N21" s="83" t="s">
        <v>194</v>
      </c>
      <c r="O21" s="83" t="s">
        <v>183</v>
      </c>
      <c r="P21" s="83" t="s">
        <v>195</v>
      </c>
      <c r="Q21" s="83" t="s">
        <v>196</v>
      </c>
      <c r="R21" s="83" t="s">
        <v>197</v>
      </c>
      <c r="S21" s="83" t="s">
        <v>198</v>
      </c>
      <c r="T21" s="83" t="s">
        <v>199</v>
      </c>
      <c r="U21" s="83" t="s">
        <v>200</v>
      </c>
    </row>
    <row r="22" spans="2:21" x14ac:dyDescent="0.3">
      <c r="B22" s="78">
        <v>45481</v>
      </c>
      <c r="C22" s="77">
        <v>1643.83</v>
      </c>
      <c r="D22" s="81">
        <f t="shared" si="0"/>
        <v>3.9030896035598728E-2</v>
      </c>
      <c r="E22" s="75"/>
      <c r="F22" s="78">
        <v>45481</v>
      </c>
      <c r="G22" s="77">
        <v>24502.15</v>
      </c>
      <c r="H22" s="58">
        <f t="shared" si="1"/>
        <v>7.3302540510651326E-3</v>
      </c>
      <c r="M22" t="s">
        <v>188</v>
      </c>
      <c r="N22">
        <v>-1.8329950470767568E-3</v>
      </c>
      <c r="O22">
        <v>3.3104748468938267E-3</v>
      </c>
      <c r="P22">
        <v>-0.55369550649104948</v>
      </c>
      <c r="Q22">
        <v>0.58101098482504632</v>
      </c>
      <c r="R22">
        <v>-8.400086635364748E-3</v>
      </c>
      <c r="S22">
        <v>4.7340965412112348E-3</v>
      </c>
      <c r="T22">
        <v>-8.400086635364748E-3</v>
      </c>
      <c r="U22">
        <v>4.7340965412112348E-3</v>
      </c>
    </row>
    <row r="23" spans="2:21" ht="15" thickBot="1" x14ac:dyDescent="0.35">
      <c r="B23" s="78">
        <v>45488</v>
      </c>
      <c r="C23" s="77">
        <v>1721.81</v>
      </c>
      <c r="D23" s="81">
        <f t="shared" si="0"/>
        <v>4.7437995413150968E-2</v>
      </c>
      <c r="E23" s="75"/>
      <c r="F23" s="78">
        <v>45488</v>
      </c>
      <c r="G23" s="77">
        <v>24530.9</v>
      </c>
      <c r="H23" s="58">
        <f t="shared" si="1"/>
        <v>1.1733664188653403E-3</v>
      </c>
      <c r="M23" s="82" t="s">
        <v>201</v>
      </c>
      <c r="N23" s="82">
        <v>0.77992766843479944</v>
      </c>
      <c r="O23" s="82">
        <v>0.19195054480300974</v>
      </c>
      <c r="P23" s="82">
        <v>4.0631698609410272</v>
      </c>
      <c r="Q23" s="82">
        <v>9.5858109952725218E-5</v>
      </c>
      <c r="R23" s="82">
        <v>0.39914942167485024</v>
      </c>
      <c r="S23" s="82">
        <v>1.1607059151947485</v>
      </c>
      <c r="T23" s="82">
        <v>0.39914942167485024</v>
      </c>
      <c r="U23" s="82">
        <v>1.1607059151947485</v>
      </c>
    </row>
    <row r="24" spans="2:21" x14ac:dyDescent="0.3">
      <c r="B24" s="78">
        <v>45495</v>
      </c>
      <c r="C24" s="77">
        <v>1804.35</v>
      </c>
      <c r="D24" s="81">
        <f t="shared" si="0"/>
        <v>4.7937925787398195E-2</v>
      </c>
      <c r="E24" s="75"/>
      <c r="F24" s="78">
        <v>45495</v>
      </c>
      <c r="G24" s="77">
        <v>24834.85</v>
      </c>
      <c r="H24" s="58">
        <f t="shared" si="1"/>
        <v>1.2390495252925682E-2</v>
      </c>
    </row>
    <row r="25" spans="2:21" x14ac:dyDescent="0.3">
      <c r="B25" s="78">
        <v>45502</v>
      </c>
      <c r="C25" s="77">
        <v>1748.94</v>
      </c>
      <c r="D25" s="81">
        <f t="shared" si="0"/>
        <v>-3.0709119627566617E-2</v>
      </c>
      <c r="E25" s="75"/>
      <c r="F25" s="78">
        <v>45502</v>
      </c>
      <c r="G25" s="77">
        <v>24717.7</v>
      </c>
      <c r="H25" s="58">
        <f t="shared" si="1"/>
        <v>-4.7171615693268887E-3</v>
      </c>
    </row>
    <row r="26" spans="2:21" x14ac:dyDescent="0.3">
      <c r="B26" s="78">
        <v>45509</v>
      </c>
      <c r="C26" s="77">
        <v>1700.49</v>
      </c>
      <c r="D26" s="81">
        <f t="shared" si="0"/>
        <v>-2.7702494082129769E-2</v>
      </c>
      <c r="E26" s="75"/>
      <c r="F26" s="78">
        <v>45509</v>
      </c>
      <c r="G26" s="77">
        <v>24367.5</v>
      </c>
      <c r="H26" s="58">
        <f t="shared" si="1"/>
        <v>-1.4167984885325113E-2</v>
      </c>
    </row>
    <row r="27" spans="2:21" x14ac:dyDescent="0.3">
      <c r="B27" s="78">
        <v>45516</v>
      </c>
      <c r="C27" s="77">
        <v>1785.19</v>
      </c>
      <c r="D27" s="81">
        <f t="shared" si="0"/>
        <v>4.98091726502361E-2</v>
      </c>
      <c r="E27" s="75"/>
      <c r="F27" s="78">
        <v>45516</v>
      </c>
      <c r="G27" s="77">
        <v>24541.15</v>
      </c>
      <c r="H27" s="58">
        <f t="shared" si="1"/>
        <v>7.1262952703396998E-3</v>
      </c>
    </row>
    <row r="28" spans="2:21" x14ac:dyDescent="0.3">
      <c r="B28" s="78">
        <v>45523</v>
      </c>
      <c r="C28" s="77">
        <v>1788.22</v>
      </c>
      <c r="D28" s="81">
        <f t="shared" si="0"/>
        <v>1.6972983267886654E-3</v>
      </c>
      <c r="E28" s="75"/>
      <c r="F28" s="78">
        <v>45523</v>
      </c>
      <c r="G28" s="77">
        <v>24823.15</v>
      </c>
      <c r="H28" s="58">
        <f t="shared" si="1"/>
        <v>1.1490904052988471E-2</v>
      </c>
    </row>
    <row r="29" spans="2:21" x14ac:dyDescent="0.3">
      <c r="B29" s="78">
        <v>45530</v>
      </c>
      <c r="C29" s="77">
        <v>1866.58</v>
      </c>
      <c r="D29" s="81">
        <f t="shared" si="0"/>
        <v>4.3820111619375712E-2</v>
      </c>
      <c r="E29" s="75"/>
      <c r="F29" s="78">
        <v>45530</v>
      </c>
      <c r="G29" s="77">
        <v>25235.9</v>
      </c>
      <c r="H29" s="58">
        <f t="shared" si="1"/>
        <v>1.6627623810837822E-2</v>
      </c>
    </row>
    <row r="30" spans="2:21" x14ac:dyDescent="0.3">
      <c r="B30" s="78">
        <v>45537</v>
      </c>
      <c r="C30" s="77">
        <v>1826.39</v>
      </c>
      <c r="D30" s="81">
        <f t="shared" si="0"/>
        <v>-2.1531356812994784E-2</v>
      </c>
      <c r="E30" s="75"/>
      <c r="F30" s="78">
        <v>45537</v>
      </c>
      <c r="G30" s="77">
        <v>24852.15</v>
      </c>
      <c r="H30" s="58">
        <f t="shared" si="1"/>
        <v>-1.5206511358818231E-2</v>
      </c>
    </row>
    <row r="31" spans="2:21" x14ac:dyDescent="0.3">
      <c r="B31" s="78">
        <v>45544</v>
      </c>
      <c r="C31" s="77">
        <v>1866.96</v>
      </c>
      <c r="D31" s="81">
        <f t="shared" si="0"/>
        <v>2.2213218425418457E-2</v>
      </c>
      <c r="E31" s="75"/>
      <c r="F31" s="78">
        <v>45544</v>
      </c>
      <c r="G31" s="77">
        <v>25356.5</v>
      </c>
      <c r="H31" s="58">
        <f t="shared" si="1"/>
        <v>2.0294018827344829E-2</v>
      </c>
    </row>
    <row r="32" spans="2:21" x14ac:dyDescent="0.3">
      <c r="B32" s="78">
        <v>45551</v>
      </c>
      <c r="C32" s="77">
        <v>1830.13</v>
      </c>
      <c r="D32" s="81">
        <f t="shared" si="0"/>
        <v>-1.9727257145305654E-2</v>
      </c>
      <c r="E32" s="75"/>
      <c r="F32" s="78">
        <v>45551</v>
      </c>
      <c r="G32" s="77">
        <v>25790.95</v>
      </c>
      <c r="H32" s="58">
        <f t="shared" si="1"/>
        <v>1.7133673811448702E-2</v>
      </c>
    </row>
    <row r="33" spans="2:8" x14ac:dyDescent="0.3">
      <c r="B33" s="78">
        <v>45558</v>
      </c>
      <c r="C33" s="77">
        <v>1831.09</v>
      </c>
      <c r="D33" s="81">
        <f t="shared" si="0"/>
        <v>5.2455290061348414E-4</v>
      </c>
      <c r="E33" s="75"/>
      <c r="F33" s="78">
        <v>45558</v>
      </c>
      <c r="G33" s="77">
        <v>26178.95</v>
      </c>
      <c r="H33" s="58">
        <f t="shared" si="1"/>
        <v>1.5044036764834123E-2</v>
      </c>
    </row>
    <row r="34" spans="2:8" x14ac:dyDescent="0.3">
      <c r="B34" s="78">
        <v>45565</v>
      </c>
      <c r="C34" s="77">
        <v>1842.04</v>
      </c>
      <c r="D34" s="81">
        <f t="shared" si="0"/>
        <v>5.9800446728450751E-3</v>
      </c>
      <c r="E34" s="75"/>
      <c r="F34" s="78">
        <v>45565</v>
      </c>
      <c r="G34" s="77">
        <v>25014.6</v>
      </c>
      <c r="H34" s="58">
        <f t="shared" si="1"/>
        <v>-4.4476573735768743E-2</v>
      </c>
    </row>
    <row r="35" spans="2:8" x14ac:dyDescent="0.3">
      <c r="B35" s="78">
        <v>45572</v>
      </c>
      <c r="C35" s="77">
        <v>1858.32</v>
      </c>
      <c r="D35" s="81">
        <f t="shared" si="0"/>
        <v>8.8380274043995399E-3</v>
      </c>
      <c r="E35" s="75"/>
      <c r="F35" s="78">
        <v>45572</v>
      </c>
      <c r="G35" s="77">
        <v>24964.25</v>
      </c>
      <c r="H35" s="58">
        <f t="shared" si="1"/>
        <v>-2.0128245104857889E-3</v>
      </c>
    </row>
    <row r="36" spans="2:8" x14ac:dyDescent="0.3">
      <c r="B36" s="78">
        <v>45579</v>
      </c>
      <c r="C36" s="77">
        <v>1805.02</v>
      </c>
      <c r="D36" s="81">
        <f t="shared" si="0"/>
        <v>-2.8681820138619751E-2</v>
      </c>
      <c r="E36" s="75"/>
      <c r="F36" s="78">
        <v>45579</v>
      </c>
      <c r="G36" s="77">
        <v>24854.05</v>
      </c>
      <c r="H36" s="58">
        <f t="shared" si="1"/>
        <v>-4.4143124668275524E-3</v>
      </c>
    </row>
    <row r="37" spans="2:8" x14ac:dyDescent="0.3">
      <c r="B37" s="78">
        <v>45586</v>
      </c>
      <c r="C37" s="77">
        <v>1788.17</v>
      </c>
      <c r="D37" s="81">
        <f t="shared" si="0"/>
        <v>-9.3350766196496071E-3</v>
      </c>
      <c r="E37" s="75"/>
      <c r="F37" s="78">
        <v>45586</v>
      </c>
      <c r="G37" s="77">
        <v>24180.799999999999</v>
      </c>
      <c r="H37" s="58">
        <f t="shared" si="1"/>
        <v>-2.7088140564616281E-2</v>
      </c>
    </row>
    <row r="38" spans="2:8" x14ac:dyDescent="0.3">
      <c r="B38" s="78">
        <v>45593</v>
      </c>
      <c r="C38" s="77">
        <v>1690.98</v>
      </c>
      <c r="D38" s="81">
        <f t="shared" si="0"/>
        <v>-5.4351655603214533E-2</v>
      </c>
      <c r="E38" s="75"/>
      <c r="F38" s="78">
        <v>45593</v>
      </c>
      <c r="G38" s="77">
        <v>24304.35</v>
      </c>
      <c r="H38" s="58">
        <f t="shared" si="1"/>
        <v>5.1094256600276999E-3</v>
      </c>
    </row>
    <row r="39" spans="2:8" x14ac:dyDescent="0.3">
      <c r="B39" s="78">
        <v>45600</v>
      </c>
      <c r="C39" s="77">
        <v>1777.35</v>
      </c>
      <c r="D39" s="81">
        <f t="shared" si="0"/>
        <v>5.1076890323954016E-2</v>
      </c>
      <c r="E39" s="75"/>
      <c r="F39" s="78">
        <v>45600</v>
      </c>
      <c r="G39" s="77">
        <v>24148.2</v>
      </c>
      <c r="H39" s="58">
        <f t="shared" si="1"/>
        <v>-6.4247758117372822E-3</v>
      </c>
    </row>
    <row r="40" spans="2:8" x14ac:dyDescent="0.3">
      <c r="B40" s="78">
        <v>45607</v>
      </c>
      <c r="C40" s="77">
        <v>1810.96</v>
      </c>
      <c r="D40" s="81">
        <f t="shared" si="0"/>
        <v>1.8910175260922202E-2</v>
      </c>
      <c r="E40" s="75"/>
      <c r="F40" s="78">
        <v>45607</v>
      </c>
      <c r="G40" s="77">
        <v>23532.7</v>
      </c>
      <c r="H40" s="58">
        <f t="shared" si="1"/>
        <v>-2.5488442202731498E-2</v>
      </c>
    </row>
    <row r="41" spans="2:8" x14ac:dyDescent="0.3">
      <c r="B41" s="78">
        <v>45614</v>
      </c>
      <c r="C41" s="77">
        <v>1847.57</v>
      </c>
      <c r="D41" s="81">
        <f t="shared" si="0"/>
        <v>2.0215797146264869E-2</v>
      </c>
      <c r="E41" s="75"/>
      <c r="F41" s="78">
        <v>45614</v>
      </c>
      <c r="G41" s="77">
        <v>23907.25</v>
      </c>
      <c r="H41" s="58">
        <f t="shared" si="1"/>
        <v>1.5916150717937061E-2</v>
      </c>
    </row>
    <row r="42" spans="2:8" x14ac:dyDescent="0.3">
      <c r="B42" s="78">
        <v>45621</v>
      </c>
      <c r="C42" s="77">
        <v>1804.45</v>
      </c>
      <c r="D42" s="81">
        <f t="shared" si="0"/>
        <v>-2.333876388986611E-2</v>
      </c>
      <c r="E42" s="75"/>
      <c r="F42" s="78">
        <v>45621</v>
      </c>
      <c r="G42" s="77">
        <v>24131.1</v>
      </c>
      <c r="H42" s="58">
        <f t="shared" si="1"/>
        <v>9.3632684645870157E-3</v>
      </c>
    </row>
    <row r="43" spans="2:8" x14ac:dyDescent="0.3">
      <c r="B43" s="78">
        <v>45628</v>
      </c>
      <c r="C43" s="77">
        <v>1867.14</v>
      </c>
      <c r="D43" s="81">
        <f t="shared" si="0"/>
        <v>3.4741888109950381E-2</v>
      </c>
      <c r="E43" s="75"/>
      <c r="F43" s="78">
        <v>45628</v>
      </c>
      <c r="G43" s="77">
        <v>24677.8</v>
      </c>
      <c r="H43" s="58">
        <f t="shared" si="1"/>
        <v>2.2655411481449228E-2</v>
      </c>
    </row>
    <row r="44" spans="2:8" x14ac:dyDescent="0.3">
      <c r="B44" s="78">
        <v>45635</v>
      </c>
      <c r="C44" s="77">
        <v>1942.22</v>
      </c>
      <c r="D44" s="81">
        <f t="shared" si="0"/>
        <v>4.0211232151847076E-2</v>
      </c>
      <c r="E44" s="75"/>
      <c r="F44" s="78">
        <v>45635</v>
      </c>
      <c r="G44" s="77">
        <v>24768.3</v>
      </c>
      <c r="H44" s="58">
        <f t="shared" si="1"/>
        <v>3.6672636944945491E-3</v>
      </c>
    </row>
    <row r="45" spans="2:8" x14ac:dyDescent="0.3">
      <c r="B45" s="78">
        <v>45642</v>
      </c>
      <c r="C45" s="77">
        <v>1866.9</v>
      </c>
      <c r="D45" s="81">
        <f t="shared" si="0"/>
        <v>-3.8780364737259432E-2</v>
      </c>
      <c r="E45" s="75"/>
      <c r="F45" s="78">
        <v>45642</v>
      </c>
      <c r="G45" s="77">
        <v>23587.5</v>
      </c>
      <c r="H45" s="58">
        <f t="shared" si="1"/>
        <v>-4.7673841159869612E-2</v>
      </c>
    </row>
    <row r="46" spans="2:8" x14ac:dyDescent="0.3">
      <c r="B46" s="78">
        <v>45649</v>
      </c>
      <c r="C46" s="77">
        <v>1861.66</v>
      </c>
      <c r="D46" s="81">
        <f t="shared" si="0"/>
        <v>-2.8067920081418229E-3</v>
      </c>
      <c r="E46" s="75"/>
      <c r="F46" s="78">
        <v>45649</v>
      </c>
      <c r="G46" s="77">
        <v>23813.4</v>
      </c>
      <c r="H46" s="58">
        <f t="shared" si="1"/>
        <v>9.5771065182830295E-3</v>
      </c>
    </row>
    <row r="47" spans="2:8" x14ac:dyDescent="0.3">
      <c r="B47" s="78">
        <v>45656</v>
      </c>
      <c r="C47" s="77">
        <v>1883.02</v>
      </c>
      <c r="D47" s="81">
        <f t="shared" si="0"/>
        <v>1.1473631060451295E-2</v>
      </c>
      <c r="E47" s="75"/>
      <c r="F47" s="78">
        <v>45656</v>
      </c>
      <c r="G47" s="77">
        <v>24004.75</v>
      </c>
      <c r="H47" s="58">
        <f t="shared" si="1"/>
        <v>8.035391838208783E-3</v>
      </c>
    </row>
    <row r="48" spans="2:8" x14ac:dyDescent="0.3">
      <c r="B48" s="78">
        <v>45663</v>
      </c>
      <c r="C48" s="77">
        <v>1910.41</v>
      </c>
      <c r="D48" s="81">
        <f t="shared" si="0"/>
        <v>1.4545782838206733E-2</v>
      </c>
      <c r="E48" s="75"/>
      <c r="F48" s="78">
        <v>45663</v>
      </c>
      <c r="G48" s="77">
        <v>23431.5</v>
      </c>
      <c r="H48" s="58">
        <f t="shared" si="1"/>
        <v>-2.3880690280048689E-2</v>
      </c>
    </row>
    <row r="49" spans="2:8" x14ac:dyDescent="0.3">
      <c r="B49" s="78">
        <v>45670</v>
      </c>
      <c r="C49" s="77">
        <v>1763.27</v>
      </c>
      <c r="D49" s="81">
        <f t="shared" si="0"/>
        <v>-7.7020116100732339E-2</v>
      </c>
      <c r="E49" s="75"/>
      <c r="F49" s="78">
        <v>45670</v>
      </c>
      <c r="G49" s="77">
        <v>23203.200000000001</v>
      </c>
      <c r="H49" s="58">
        <f t="shared" si="1"/>
        <v>-9.7432942833365344E-3</v>
      </c>
    </row>
    <row r="50" spans="2:8" x14ac:dyDescent="0.3">
      <c r="B50" s="78">
        <v>45677</v>
      </c>
      <c r="C50" s="77">
        <v>1821.54</v>
      </c>
      <c r="D50" s="81">
        <f t="shared" si="0"/>
        <v>3.3046555547363798E-2</v>
      </c>
      <c r="E50" s="75"/>
      <c r="F50" s="78">
        <v>45677</v>
      </c>
      <c r="G50" s="77">
        <v>23092.2</v>
      </c>
      <c r="H50" s="58">
        <f t="shared" si="1"/>
        <v>-4.7838229209764549E-3</v>
      </c>
    </row>
    <row r="51" spans="2:8" x14ac:dyDescent="0.3">
      <c r="B51" s="78">
        <v>45684</v>
      </c>
      <c r="C51" s="77">
        <v>1798.14</v>
      </c>
      <c r="D51" s="81">
        <f t="shared" si="0"/>
        <v>-1.2846272933891068E-2</v>
      </c>
      <c r="E51" s="75"/>
      <c r="F51" s="78">
        <v>45684</v>
      </c>
      <c r="G51" s="77">
        <v>23482.15</v>
      </c>
      <c r="H51" s="58">
        <f t="shared" si="1"/>
        <v>1.6886654368141629E-2</v>
      </c>
    </row>
    <row r="52" spans="2:8" x14ac:dyDescent="0.3">
      <c r="B52" s="78">
        <v>45691</v>
      </c>
      <c r="C52" s="77">
        <v>1848.93</v>
      </c>
      <c r="D52" s="81">
        <f t="shared" si="0"/>
        <v>2.8245854049184116E-2</v>
      </c>
      <c r="E52" s="75"/>
      <c r="F52" s="78">
        <v>45691</v>
      </c>
      <c r="G52" s="77">
        <v>23559.95</v>
      </c>
      <c r="H52" s="58">
        <f t="shared" si="1"/>
        <v>3.3131548857323612E-3</v>
      </c>
    </row>
    <row r="53" spans="2:8" x14ac:dyDescent="0.3">
      <c r="B53" s="78">
        <v>45698</v>
      </c>
      <c r="C53" s="77">
        <v>1803.04</v>
      </c>
      <c r="D53" s="81">
        <f t="shared" si="0"/>
        <v>-2.4819760618303599E-2</v>
      </c>
      <c r="E53" s="75"/>
      <c r="F53" s="78">
        <v>45698</v>
      </c>
      <c r="G53" s="77">
        <v>22929.25</v>
      </c>
      <c r="H53" s="58">
        <f t="shared" si="1"/>
        <v>-2.6770005878620329E-2</v>
      </c>
    </row>
    <row r="54" spans="2:8" x14ac:dyDescent="0.3">
      <c r="B54" s="78">
        <v>45705</v>
      </c>
      <c r="C54" s="77">
        <v>1762.83</v>
      </c>
      <c r="D54" s="81">
        <f t="shared" si="0"/>
        <v>-2.230122459845596E-2</v>
      </c>
      <c r="E54" s="75"/>
      <c r="F54" s="78">
        <v>45705</v>
      </c>
      <c r="G54" s="77">
        <v>22795.9</v>
      </c>
      <c r="H54" s="58">
        <f t="shared" si="1"/>
        <v>-5.8157157342695331E-3</v>
      </c>
    </row>
    <row r="55" spans="2:8" x14ac:dyDescent="0.3">
      <c r="B55" s="78">
        <v>45712</v>
      </c>
      <c r="C55" s="77">
        <v>1639.19</v>
      </c>
      <c r="D55" s="81">
        <f t="shared" si="0"/>
        <v>-7.01372225342205E-2</v>
      </c>
      <c r="E55" s="75"/>
      <c r="F55" s="78">
        <v>45712</v>
      </c>
      <c r="G55" s="77">
        <v>22124.7</v>
      </c>
      <c r="H55" s="58">
        <f t="shared" si="1"/>
        <v>-2.9443891226053842E-2</v>
      </c>
    </row>
    <row r="56" spans="2:8" x14ac:dyDescent="0.3">
      <c r="B56" s="78">
        <v>45719</v>
      </c>
      <c r="C56" s="77">
        <v>1637.54</v>
      </c>
      <c r="D56" s="81">
        <f t="shared" si="0"/>
        <v>-1.006594720563303E-3</v>
      </c>
      <c r="E56" s="75"/>
      <c r="F56" s="78">
        <v>45719</v>
      </c>
      <c r="G56" s="77">
        <v>22552.5</v>
      </c>
      <c r="H56" s="58">
        <f t="shared" si="1"/>
        <v>1.9335855401429125E-2</v>
      </c>
    </row>
    <row r="57" spans="2:8" x14ac:dyDescent="0.3">
      <c r="B57" s="78">
        <v>45726</v>
      </c>
      <c r="C57" s="77">
        <v>1534.44</v>
      </c>
      <c r="D57" s="81">
        <f t="shared" si="0"/>
        <v>-6.2960294099686065E-2</v>
      </c>
      <c r="E57" s="75"/>
      <c r="F57" s="78">
        <v>45726</v>
      </c>
      <c r="G57" s="77">
        <v>22397.200000000001</v>
      </c>
      <c r="H57" s="58">
        <f t="shared" si="1"/>
        <v>-6.8861545283227521E-3</v>
      </c>
    </row>
    <row r="58" spans="2:8" x14ac:dyDescent="0.3">
      <c r="B58" s="78">
        <v>45733</v>
      </c>
      <c r="C58" s="77">
        <v>1546.77</v>
      </c>
      <c r="D58" s="81">
        <f t="shared" si="0"/>
        <v>8.0355048095721582E-3</v>
      </c>
      <c r="E58" s="75"/>
      <c r="F58" s="78">
        <v>45733</v>
      </c>
      <c r="G58" s="77">
        <v>23350.400000000001</v>
      </c>
      <c r="H58" s="58">
        <f t="shared" si="1"/>
        <v>4.2558891289982803E-2</v>
      </c>
    </row>
    <row r="59" spans="2:8" x14ac:dyDescent="0.3">
      <c r="B59" s="78">
        <v>45740</v>
      </c>
      <c r="C59" s="77">
        <v>1525.5</v>
      </c>
      <c r="D59" s="81">
        <f t="shared" si="0"/>
        <v>-1.375123644756493E-2</v>
      </c>
      <c r="E59" s="75"/>
      <c r="F59" s="78">
        <v>45740</v>
      </c>
      <c r="G59" s="77">
        <v>23519.35</v>
      </c>
      <c r="H59" s="58">
        <f t="shared" si="1"/>
        <v>7.2354220912702605E-3</v>
      </c>
    </row>
    <row r="60" spans="2:8" x14ac:dyDescent="0.3">
      <c r="B60" s="78">
        <v>45747</v>
      </c>
      <c r="C60" s="77">
        <v>1409.92</v>
      </c>
      <c r="D60" s="81">
        <f t="shared" si="0"/>
        <v>-7.5765322844968841E-2</v>
      </c>
      <c r="E60" s="75"/>
      <c r="F60" s="78">
        <v>45747</v>
      </c>
      <c r="G60" s="77">
        <v>22904.45</v>
      </c>
      <c r="H60" s="58">
        <f t="shared" si="1"/>
        <v>-2.6144430011883713E-2</v>
      </c>
    </row>
    <row r="61" spans="2:8" x14ac:dyDescent="0.3">
      <c r="B61" s="78">
        <v>45754</v>
      </c>
      <c r="C61" s="77">
        <v>1368.94</v>
      </c>
      <c r="D61" s="81">
        <f t="shared" si="0"/>
        <v>-2.9065478892419394E-2</v>
      </c>
      <c r="E61" s="75"/>
      <c r="F61" s="78">
        <v>45754</v>
      </c>
      <c r="G61" s="77">
        <v>22828.55</v>
      </c>
      <c r="H61" s="58">
        <f t="shared" si="1"/>
        <v>-3.3137665388167648E-3</v>
      </c>
    </row>
    <row r="62" spans="2:8" x14ac:dyDescent="0.3">
      <c r="B62" s="78">
        <v>45761</v>
      </c>
      <c r="C62" s="77">
        <v>1378.7</v>
      </c>
      <c r="D62" s="81">
        <f t="shared" si="0"/>
        <v>7.129603927126027E-3</v>
      </c>
      <c r="E62" s="75"/>
      <c r="F62" s="78">
        <v>45761</v>
      </c>
      <c r="G62" s="77">
        <v>23851.65</v>
      </c>
      <c r="H62" s="58">
        <f t="shared" si="1"/>
        <v>4.4816687875489425E-2</v>
      </c>
    </row>
    <row r="63" spans="2:8" x14ac:dyDescent="0.3">
      <c r="B63" s="78">
        <v>45768</v>
      </c>
      <c r="C63" s="77">
        <v>1437.65</v>
      </c>
      <c r="D63" s="81">
        <f t="shared" si="0"/>
        <v>4.2757670269094161E-2</v>
      </c>
      <c r="E63" s="75"/>
      <c r="F63" s="78">
        <v>45768</v>
      </c>
      <c r="G63" s="77">
        <v>24039.35</v>
      </c>
      <c r="H63" s="58">
        <f t="shared" si="1"/>
        <v>7.86947653516612E-3</v>
      </c>
    </row>
    <row r="64" spans="2:8" x14ac:dyDescent="0.3">
      <c r="B64" s="78">
        <v>45775</v>
      </c>
      <c r="C64" s="77">
        <v>1463.59</v>
      </c>
      <c r="D64" s="81">
        <f t="shared" si="0"/>
        <v>1.8043334608562445E-2</v>
      </c>
      <c r="E64" s="75"/>
      <c r="F64" s="78">
        <v>45775</v>
      </c>
      <c r="G64" s="77">
        <v>24346.7</v>
      </c>
      <c r="H64" s="58">
        <f t="shared" si="1"/>
        <v>1.2785287455775673E-2</v>
      </c>
    </row>
    <row r="65" spans="2:8" x14ac:dyDescent="0.3">
      <c r="B65" s="78">
        <v>45782</v>
      </c>
      <c r="C65" s="77">
        <v>1464.27</v>
      </c>
      <c r="D65" s="81">
        <f t="shared" si="0"/>
        <v>4.646109907828766E-4</v>
      </c>
      <c r="E65" s="75"/>
      <c r="F65" s="78">
        <v>45782</v>
      </c>
      <c r="G65" s="77">
        <v>24008</v>
      </c>
      <c r="H65" s="58">
        <f t="shared" si="1"/>
        <v>-1.391153626569519E-2</v>
      </c>
    </row>
    <row r="66" spans="2:8" x14ac:dyDescent="0.3">
      <c r="B66" s="78">
        <v>45789</v>
      </c>
      <c r="C66" s="77">
        <v>1544.2</v>
      </c>
      <c r="D66" s="81">
        <f t="shared" si="0"/>
        <v>5.4586927274341557E-2</v>
      </c>
      <c r="E66" s="75"/>
      <c r="F66" s="78">
        <v>45789</v>
      </c>
      <c r="G66" s="77">
        <v>25019.8</v>
      </c>
      <c r="H66" s="58">
        <f t="shared" si="1"/>
        <v>4.2144285238253865E-2</v>
      </c>
    </row>
    <row r="67" spans="2:8" x14ac:dyDescent="0.3">
      <c r="B67" s="78">
        <v>45796</v>
      </c>
      <c r="C67" s="77">
        <v>1519.82</v>
      </c>
      <c r="D67" s="81">
        <f t="shared" si="0"/>
        <v>-1.5788110348400552E-2</v>
      </c>
      <c r="E67" s="75"/>
      <c r="F67" s="78">
        <v>45796</v>
      </c>
      <c r="G67" s="77">
        <v>24853.15</v>
      </c>
      <c r="H67" s="58">
        <f t="shared" si="1"/>
        <v>-6.660724706032739E-3</v>
      </c>
    </row>
    <row r="68" spans="2:8" x14ac:dyDescent="0.3">
      <c r="B68" s="78">
        <v>45803</v>
      </c>
      <c r="C68" s="77">
        <v>1517.78</v>
      </c>
      <c r="D68" s="81">
        <f t="shared" si="0"/>
        <v>-1.3422642154992115E-3</v>
      </c>
      <c r="E68" s="75"/>
      <c r="F68" s="78">
        <v>45803</v>
      </c>
      <c r="G68" s="77">
        <v>24750.7</v>
      </c>
      <c r="H68" s="58">
        <f t="shared" si="1"/>
        <v>-4.1222138843567402E-3</v>
      </c>
    </row>
    <row r="69" spans="2:8" x14ac:dyDescent="0.3">
      <c r="B69" s="78">
        <v>45810</v>
      </c>
      <c r="C69" s="77">
        <v>1540.22</v>
      </c>
      <c r="D69" s="81">
        <f t="shared" si="0"/>
        <v>1.478475141324842E-2</v>
      </c>
      <c r="E69" s="75"/>
      <c r="F69" s="78">
        <v>45810</v>
      </c>
      <c r="G69" s="77">
        <v>25003.05</v>
      </c>
      <c r="H69" s="58">
        <f t="shared" si="1"/>
        <v>1.0195671233540704E-2</v>
      </c>
    </row>
    <row r="70" spans="2:8" x14ac:dyDescent="0.3">
      <c r="B70" s="78">
        <v>45817</v>
      </c>
      <c r="C70" s="77">
        <v>1577.84</v>
      </c>
      <c r="D70" s="81">
        <f t="shared" si="0"/>
        <v>2.4425082131124043E-2</v>
      </c>
      <c r="E70" s="75"/>
      <c r="F70" s="78">
        <v>45817</v>
      </c>
      <c r="G70" s="77">
        <v>24718.6</v>
      </c>
      <c r="H70" s="58">
        <f t="shared" si="1"/>
        <v>-1.1376612053329516E-2</v>
      </c>
    </row>
    <row r="71" spans="2:8" x14ac:dyDescent="0.3">
      <c r="B71" s="78">
        <v>45824</v>
      </c>
      <c r="C71" s="77">
        <v>1598.43</v>
      </c>
      <c r="D71" s="81">
        <f t="shared" ref="D71:D108" si="2">C71/C70-1</f>
        <v>1.304948537240791E-2</v>
      </c>
      <c r="E71" s="75"/>
      <c r="F71" s="78">
        <v>45824</v>
      </c>
      <c r="G71" s="77">
        <v>25112.400000000001</v>
      </c>
      <c r="H71" s="58">
        <f t="shared" ref="H71:H108" si="3">G71/G70-1</f>
        <v>1.5931322971365791E-2</v>
      </c>
    </row>
    <row r="72" spans="2:8" x14ac:dyDescent="0.3">
      <c r="B72" s="78">
        <v>45831</v>
      </c>
      <c r="C72" s="77">
        <v>1583.75</v>
      </c>
      <c r="D72" s="81">
        <f t="shared" si="2"/>
        <v>-9.1840118115901204E-3</v>
      </c>
      <c r="E72" s="75"/>
      <c r="F72" s="78">
        <v>45831</v>
      </c>
      <c r="G72" s="77">
        <v>25637.8</v>
      </c>
      <c r="H72" s="58">
        <f t="shared" si="3"/>
        <v>2.092193498032846E-2</v>
      </c>
    </row>
    <row r="73" spans="2:8" x14ac:dyDescent="0.3">
      <c r="B73" s="78">
        <v>45838</v>
      </c>
      <c r="C73" s="77">
        <v>1615.96</v>
      </c>
      <c r="D73" s="81">
        <f t="shared" si="2"/>
        <v>2.0337805840568324E-2</v>
      </c>
      <c r="E73" s="75"/>
      <c r="F73" s="78">
        <v>45838</v>
      </c>
      <c r="G73" s="77">
        <v>25461</v>
      </c>
      <c r="H73" s="58">
        <f t="shared" si="3"/>
        <v>-6.8960675252947023E-3</v>
      </c>
    </row>
    <row r="74" spans="2:8" x14ac:dyDescent="0.3">
      <c r="B74" s="78">
        <v>45845</v>
      </c>
      <c r="C74" s="77">
        <v>1570.85</v>
      </c>
      <c r="D74" s="81">
        <f t="shared" si="2"/>
        <v>-2.7915294933043011E-2</v>
      </c>
      <c r="E74" s="75"/>
      <c r="F74" s="78">
        <v>45845</v>
      </c>
      <c r="G74" s="77">
        <v>25149.85</v>
      </c>
      <c r="H74" s="58">
        <f t="shared" si="3"/>
        <v>-1.2220651192019205E-2</v>
      </c>
    </row>
    <row r="75" spans="2:8" x14ac:dyDescent="0.3">
      <c r="B75" s="78">
        <v>45852</v>
      </c>
      <c r="C75" s="77">
        <v>1562.18</v>
      </c>
      <c r="D75" s="81">
        <f t="shared" si="2"/>
        <v>-5.5193048349618801E-3</v>
      </c>
      <c r="E75" s="75"/>
      <c r="F75" s="78">
        <v>45852</v>
      </c>
      <c r="G75" s="77">
        <v>24968.400000000001</v>
      </c>
      <c r="H75" s="58">
        <f t="shared" si="3"/>
        <v>-7.214754759968578E-3</v>
      </c>
    </row>
    <row r="76" spans="2:8" x14ac:dyDescent="0.3">
      <c r="B76" s="78">
        <v>45859</v>
      </c>
      <c r="C76" s="77">
        <v>1492.85</v>
      </c>
      <c r="D76" s="81">
        <f t="shared" si="2"/>
        <v>-4.438028908320435E-2</v>
      </c>
      <c r="E76" s="75"/>
      <c r="F76" s="78">
        <v>45859</v>
      </c>
      <c r="G76" s="77">
        <v>24837</v>
      </c>
      <c r="H76" s="58">
        <f t="shared" si="3"/>
        <v>-5.2626519921180615E-3</v>
      </c>
    </row>
    <row r="77" spans="2:8" x14ac:dyDescent="0.3">
      <c r="B77" s="78">
        <v>45866</v>
      </c>
      <c r="C77" s="77">
        <v>1447.44</v>
      </c>
      <c r="D77" s="81">
        <f t="shared" si="2"/>
        <v>-3.041832736041794E-2</v>
      </c>
      <c r="E77" s="75"/>
      <c r="F77" s="78">
        <v>45866</v>
      </c>
      <c r="G77" s="77">
        <v>24565.35</v>
      </c>
      <c r="H77" s="58">
        <f t="shared" si="3"/>
        <v>-1.0937311269477057E-2</v>
      </c>
    </row>
    <row r="78" spans="2:8" x14ac:dyDescent="0.3">
      <c r="B78" s="78">
        <v>45873</v>
      </c>
      <c r="C78" s="77">
        <v>1401.64</v>
      </c>
      <c r="D78" s="81">
        <f t="shared" si="2"/>
        <v>-3.164207151937215E-2</v>
      </c>
      <c r="E78" s="75"/>
      <c r="F78" s="78">
        <v>45873</v>
      </c>
      <c r="G78" s="77">
        <v>24363.3</v>
      </c>
      <c r="H78" s="58">
        <f t="shared" si="3"/>
        <v>-8.2249998473459263E-3</v>
      </c>
    </row>
    <row r="79" spans="2:8" x14ac:dyDescent="0.3">
      <c r="B79" s="78">
        <v>45880</v>
      </c>
      <c r="C79" s="77">
        <v>1425.87</v>
      </c>
      <c r="D79" s="81">
        <f t="shared" si="2"/>
        <v>1.7286892497360151E-2</v>
      </c>
      <c r="E79" s="75"/>
      <c r="F79" s="78">
        <v>45880</v>
      </c>
      <c r="G79" s="77">
        <v>24631.3</v>
      </c>
      <c r="H79" s="58">
        <f t="shared" si="3"/>
        <v>1.100015186776826E-2</v>
      </c>
    </row>
    <row r="80" spans="2:8" x14ac:dyDescent="0.3">
      <c r="B80" s="78">
        <v>45887</v>
      </c>
      <c r="C80" s="77">
        <v>1465.07</v>
      </c>
      <c r="D80" s="81">
        <f t="shared" si="2"/>
        <v>2.7491987348075231E-2</v>
      </c>
      <c r="E80" s="75"/>
      <c r="F80" s="78">
        <v>45887</v>
      </c>
      <c r="G80" s="77">
        <v>24870.1</v>
      </c>
      <c r="H80" s="58">
        <f t="shared" si="3"/>
        <v>9.6949815884666002E-3</v>
      </c>
    </row>
    <row r="81" spans="2:8" x14ac:dyDescent="0.3">
      <c r="B81" s="78">
        <v>45894</v>
      </c>
      <c r="C81" s="77">
        <v>1447.44</v>
      </c>
      <c r="D81" s="81">
        <f t="shared" si="2"/>
        <v>-1.2033554710696337E-2</v>
      </c>
      <c r="E81" s="75"/>
      <c r="F81" s="78">
        <v>45894</v>
      </c>
      <c r="G81" s="77">
        <v>24426.85</v>
      </c>
      <c r="H81" s="58">
        <f t="shared" si="3"/>
        <v>-1.7822606262138052E-2</v>
      </c>
    </row>
    <row r="82" spans="2:8" x14ac:dyDescent="0.3">
      <c r="B82" s="78">
        <v>45901</v>
      </c>
      <c r="C82" s="77">
        <v>1422.82</v>
      </c>
      <c r="D82" s="81">
        <f t="shared" si="2"/>
        <v>-1.7009340628972636E-2</v>
      </c>
      <c r="E82" s="75"/>
      <c r="F82" s="78">
        <v>45901</v>
      </c>
      <c r="G82" s="77">
        <v>24741</v>
      </c>
      <c r="H82" s="58">
        <f t="shared" si="3"/>
        <v>1.2860847796584585E-2</v>
      </c>
    </row>
    <row r="83" spans="2:8" x14ac:dyDescent="0.3">
      <c r="B83" s="78">
        <v>45908</v>
      </c>
      <c r="C83" s="77">
        <v>1502.6</v>
      </c>
      <c r="D83" s="81">
        <f t="shared" si="2"/>
        <v>5.6071744844744975E-2</v>
      </c>
      <c r="E83" s="75"/>
      <c r="F83" s="78">
        <v>45908</v>
      </c>
      <c r="G83" s="77">
        <v>25114</v>
      </c>
      <c r="H83" s="58">
        <f t="shared" si="3"/>
        <v>1.5076189321369338E-2</v>
      </c>
    </row>
    <row r="84" spans="2:8" x14ac:dyDescent="0.3">
      <c r="B84" s="78">
        <v>45915</v>
      </c>
      <c r="C84" s="77">
        <v>1516.98</v>
      </c>
      <c r="D84" s="81">
        <f t="shared" si="2"/>
        <v>9.5700785305470326E-3</v>
      </c>
      <c r="E84" s="75"/>
      <c r="F84" s="78">
        <v>45915</v>
      </c>
      <c r="G84" s="77">
        <v>25327.05</v>
      </c>
      <c r="H84" s="58">
        <f t="shared" si="3"/>
        <v>8.4833160786812467E-3</v>
      </c>
    </row>
    <row r="85" spans="2:8" x14ac:dyDescent="0.3">
      <c r="B85" s="78">
        <v>45922</v>
      </c>
      <c r="C85" s="77">
        <v>1427.05</v>
      </c>
      <c r="D85" s="81">
        <f t="shared" si="2"/>
        <v>-5.928225817083943E-2</v>
      </c>
      <c r="E85" s="75"/>
      <c r="F85" s="78">
        <v>45922</v>
      </c>
      <c r="G85" s="77">
        <v>24654.7</v>
      </c>
      <c r="H85" s="58">
        <f t="shared" si="3"/>
        <v>-2.6546715863079107E-2</v>
      </c>
    </row>
    <row r="86" spans="2:8" x14ac:dyDescent="0.3">
      <c r="B86" s="78">
        <v>45929</v>
      </c>
      <c r="C86" s="77">
        <v>1424.79</v>
      </c>
      <c r="D86" s="81">
        <f t="shared" si="2"/>
        <v>-1.5836866262569638E-3</v>
      </c>
      <c r="E86" s="75"/>
      <c r="F86" s="78">
        <v>45929</v>
      </c>
      <c r="G86" s="77">
        <v>24894.25</v>
      </c>
      <c r="H86" s="58">
        <f t="shared" si="3"/>
        <v>9.7162001565624934E-3</v>
      </c>
    </row>
    <row r="87" spans="2:8" x14ac:dyDescent="0.3">
      <c r="B87" s="78">
        <v>45936</v>
      </c>
      <c r="C87" s="77">
        <v>1492.06</v>
      </c>
      <c r="D87" s="81">
        <f t="shared" si="2"/>
        <v>4.7213975392864871E-2</v>
      </c>
      <c r="E87" s="75"/>
      <c r="F87" s="78">
        <v>45936</v>
      </c>
      <c r="G87" s="77">
        <v>25285.35</v>
      </c>
      <c r="H87" s="58">
        <f t="shared" si="3"/>
        <v>1.5710455225604214E-2</v>
      </c>
    </row>
    <row r="88" spans="2:8" x14ac:dyDescent="0.3">
      <c r="B88" s="78">
        <v>45943</v>
      </c>
      <c r="C88" s="77">
        <v>1419.37</v>
      </c>
      <c r="D88" s="81">
        <f t="shared" si="2"/>
        <v>-4.871787997801702E-2</v>
      </c>
      <c r="E88" s="75"/>
      <c r="F88" s="78">
        <v>45943</v>
      </c>
      <c r="G88" s="77">
        <v>25709.85</v>
      </c>
      <c r="H88" s="58">
        <f t="shared" si="3"/>
        <v>1.6788377459675319E-2</v>
      </c>
    </row>
    <row r="89" spans="2:8" x14ac:dyDescent="0.3">
      <c r="B89" s="78">
        <v>45950</v>
      </c>
      <c r="C89" s="77">
        <v>1502.4</v>
      </c>
      <c r="D89" s="81">
        <f t="shared" si="2"/>
        <v>5.8497784228214167E-2</v>
      </c>
      <c r="E89" s="75"/>
      <c r="F89" s="78">
        <v>45950</v>
      </c>
      <c r="G89" s="77">
        <v>25795.15</v>
      </c>
      <c r="H89" s="58">
        <f t="shared" si="3"/>
        <v>3.3177945417808274E-3</v>
      </c>
    </row>
    <row r="90" spans="2:8" x14ac:dyDescent="0.3">
      <c r="B90" s="78">
        <v>45957</v>
      </c>
      <c r="C90" s="77">
        <v>1459.95</v>
      </c>
      <c r="D90" s="81">
        <f t="shared" si="2"/>
        <v>-2.8254792332268353E-2</v>
      </c>
      <c r="E90" s="75"/>
      <c r="F90" s="78">
        <v>45957</v>
      </c>
      <c r="G90" s="77">
        <v>25722.1</v>
      </c>
      <c r="H90" s="58">
        <f t="shared" si="3"/>
        <v>-2.8319277073404203E-3</v>
      </c>
    </row>
    <row r="91" spans="2:8" x14ac:dyDescent="0.3">
      <c r="B91" s="78">
        <v>45964</v>
      </c>
      <c r="C91" s="77">
        <v>1476.8</v>
      </c>
      <c r="D91" s="81">
        <f t="shared" si="2"/>
        <v>1.1541491146957128E-2</v>
      </c>
      <c r="E91" s="75"/>
      <c r="F91" s="78">
        <v>45964</v>
      </c>
      <c r="G91" s="77">
        <v>25492.3</v>
      </c>
      <c r="H91" s="58">
        <f t="shared" si="3"/>
        <v>-8.9339517379996014E-3</v>
      </c>
    </row>
    <row r="92" spans="2:8" x14ac:dyDescent="0.3">
      <c r="B92" s="78">
        <v>45971</v>
      </c>
      <c r="C92" s="77">
        <v>1502.8</v>
      </c>
      <c r="D92" s="81">
        <f t="shared" si="2"/>
        <v>1.7605633802816989E-2</v>
      </c>
      <c r="E92" s="75"/>
      <c r="F92" s="78">
        <v>45971</v>
      </c>
      <c r="G92" s="77">
        <v>25910.05</v>
      </c>
      <c r="H92" s="58">
        <f t="shared" si="3"/>
        <v>1.6387301263518728E-2</v>
      </c>
    </row>
    <row r="93" spans="2:8" x14ac:dyDescent="0.3">
      <c r="B93" s="78">
        <v>45978</v>
      </c>
      <c r="C93" s="77">
        <v>1545</v>
      </c>
      <c r="D93" s="81">
        <f t="shared" si="2"/>
        <v>2.8080915624168146E-2</v>
      </c>
      <c r="E93" s="75"/>
      <c r="F93" s="78">
        <v>45978</v>
      </c>
      <c r="G93" s="77">
        <v>26068.15</v>
      </c>
      <c r="H93" s="58">
        <f t="shared" si="3"/>
        <v>6.1018793865701415E-3</v>
      </c>
    </row>
    <row r="94" spans="2:8" x14ac:dyDescent="0.3">
      <c r="B94" s="78">
        <v>45985</v>
      </c>
      <c r="C94" s="77">
        <v>1560.1</v>
      </c>
      <c r="D94" s="81">
        <f t="shared" si="2"/>
        <v>9.7734627831713716E-3</v>
      </c>
      <c r="E94" s="75"/>
      <c r="F94" s="78">
        <v>45985</v>
      </c>
      <c r="G94" s="77">
        <v>26202.95</v>
      </c>
      <c r="H94" s="58">
        <f t="shared" si="3"/>
        <v>5.1710612375637233E-3</v>
      </c>
    </row>
    <row r="95" spans="2:8" x14ac:dyDescent="0.3">
      <c r="B95" s="78">
        <v>45992</v>
      </c>
      <c r="C95" s="77">
        <v>1616.2</v>
      </c>
      <c r="D95" s="81">
        <f t="shared" si="2"/>
        <v>3.5959233382475642E-2</v>
      </c>
      <c r="E95" s="75"/>
      <c r="F95" s="78">
        <v>45992</v>
      </c>
      <c r="G95" s="77">
        <v>26186.45</v>
      </c>
      <c r="H95" s="58">
        <f t="shared" si="3"/>
        <v>-6.297000910202577E-4</v>
      </c>
    </row>
    <row r="96" spans="2:8" x14ac:dyDescent="0.3">
      <c r="B96" s="78">
        <v>45999</v>
      </c>
      <c r="C96" s="77">
        <v>1598.2</v>
      </c>
      <c r="D96" s="81">
        <f t="shared" si="2"/>
        <v>-1.1137235490657149E-2</v>
      </c>
      <c r="E96" s="75"/>
      <c r="F96" s="78">
        <v>45999</v>
      </c>
      <c r="G96" s="77">
        <v>26046.95</v>
      </c>
      <c r="H96" s="58">
        <f t="shared" si="3"/>
        <v>-5.3271825696113995E-3</v>
      </c>
    </row>
    <row r="97" spans="2:8" x14ac:dyDescent="0.3">
      <c r="B97" s="78">
        <v>46006</v>
      </c>
      <c r="C97" s="77">
        <v>1638.7</v>
      </c>
      <c r="D97" s="81">
        <f t="shared" si="2"/>
        <v>2.5341008634714113E-2</v>
      </c>
      <c r="E97" s="75"/>
      <c r="F97" s="78">
        <v>46006</v>
      </c>
      <c r="G97" s="77">
        <v>25966.400000000001</v>
      </c>
      <c r="H97" s="58">
        <f t="shared" si="3"/>
        <v>-3.0924925951022475E-3</v>
      </c>
    </row>
    <row r="98" spans="2:8" x14ac:dyDescent="0.3">
      <c r="B98" s="78">
        <v>46013</v>
      </c>
      <c r="C98" s="77">
        <v>1656.1</v>
      </c>
      <c r="D98" s="81">
        <f t="shared" si="2"/>
        <v>1.0618172941966098E-2</v>
      </c>
      <c r="E98" s="75"/>
      <c r="F98" s="78">
        <v>46013</v>
      </c>
      <c r="G98" s="77">
        <v>26042.3</v>
      </c>
      <c r="H98" s="58">
        <f t="shared" si="3"/>
        <v>2.9230081952060782E-3</v>
      </c>
    </row>
    <row r="99" spans="2:8" x14ac:dyDescent="0.3">
      <c r="B99" s="78">
        <v>46020</v>
      </c>
      <c r="C99" s="77">
        <v>1640.4</v>
      </c>
      <c r="D99" s="81">
        <f t="shared" si="2"/>
        <v>-9.4801038584625408E-3</v>
      </c>
      <c r="E99" s="75"/>
      <c r="F99" s="78">
        <v>46020</v>
      </c>
      <c r="G99" s="77">
        <v>26328.55</v>
      </c>
      <c r="H99" s="58">
        <f t="shared" si="3"/>
        <v>1.0991732681061128E-2</v>
      </c>
    </row>
    <row r="100" spans="2:8" x14ac:dyDescent="0.3">
      <c r="B100" s="78">
        <v>46027</v>
      </c>
      <c r="C100" s="77">
        <v>1614.1</v>
      </c>
      <c r="D100" s="81">
        <f t="shared" si="2"/>
        <v>-1.6032674957327631E-2</v>
      </c>
      <c r="E100" s="75"/>
      <c r="F100" s="78">
        <v>46027</v>
      </c>
      <c r="G100" s="77">
        <v>25683.3</v>
      </c>
      <c r="H100" s="58">
        <f t="shared" si="3"/>
        <v>-2.4507616256877029E-2</v>
      </c>
    </row>
    <row r="101" spans="2:8" x14ac:dyDescent="0.3">
      <c r="B101" s="78">
        <v>46034</v>
      </c>
      <c r="C101" s="77">
        <v>1689.8</v>
      </c>
      <c r="D101" s="81">
        <f t="shared" si="2"/>
        <v>4.6899200793011575E-2</v>
      </c>
      <c r="E101" s="75"/>
      <c r="F101" s="78">
        <v>46034</v>
      </c>
      <c r="G101" s="77">
        <v>25694.35</v>
      </c>
      <c r="H101" s="58">
        <f t="shared" si="3"/>
        <v>4.3024066222008273E-4</v>
      </c>
    </row>
    <row r="102" spans="2:8" x14ac:dyDescent="0.3">
      <c r="B102" s="78">
        <v>46041</v>
      </c>
      <c r="C102" s="77">
        <v>1670.8</v>
      </c>
      <c r="D102" s="81">
        <f t="shared" si="2"/>
        <v>-1.1243934193395644E-2</v>
      </c>
      <c r="E102" s="75"/>
      <c r="F102" s="78">
        <v>46041</v>
      </c>
      <c r="G102" s="77">
        <v>25048.65</v>
      </c>
      <c r="H102" s="58">
        <f t="shared" si="3"/>
        <v>-2.5130038315816394E-2</v>
      </c>
    </row>
    <row r="103" spans="2:8" x14ac:dyDescent="0.3">
      <c r="B103" s="78">
        <v>46048</v>
      </c>
      <c r="C103" s="77">
        <v>1654.5</v>
      </c>
      <c r="D103" s="81">
        <f t="shared" si="2"/>
        <v>-9.7558056021067596E-3</v>
      </c>
      <c r="E103" s="75"/>
      <c r="F103" s="78">
        <v>46048</v>
      </c>
      <c r="G103" s="77">
        <v>24825.45</v>
      </c>
      <c r="H103" s="58">
        <f t="shared" si="3"/>
        <v>-8.9106598559204331E-3</v>
      </c>
    </row>
    <row r="104" spans="2:8" x14ac:dyDescent="0.3">
      <c r="B104" s="78">
        <v>46055</v>
      </c>
      <c r="C104" s="77">
        <v>1507.1</v>
      </c>
      <c r="D104" s="81">
        <f t="shared" si="2"/>
        <v>-8.9090359625264459E-2</v>
      </c>
      <c r="E104" s="75"/>
      <c r="F104" s="78">
        <v>46055</v>
      </c>
      <c r="G104" s="77">
        <v>25693.7</v>
      </c>
      <c r="H104" s="58">
        <f t="shared" si="3"/>
        <v>3.4974189793135713E-2</v>
      </c>
    </row>
    <row r="105" spans="2:8" x14ac:dyDescent="0.3">
      <c r="B105" s="78">
        <v>46062</v>
      </c>
      <c r="C105" s="77">
        <v>1369.1</v>
      </c>
      <c r="D105" s="81">
        <f t="shared" si="2"/>
        <v>-9.1566584831796138E-2</v>
      </c>
      <c r="E105" s="75"/>
      <c r="F105" s="78">
        <v>46062</v>
      </c>
      <c r="G105" s="77">
        <v>25471.1</v>
      </c>
      <c r="H105" s="58">
        <f t="shared" si="3"/>
        <v>-8.6636023616685209E-3</v>
      </c>
    </row>
    <row r="106" spans="2:8" x14ac:dyDescent="0.3">
      <c r="B106" s="78">
        <v>46069</v>
      </c>
      <c r="C106" s="77">
        <v>1353.2</v>
      </c>
      <c r="D106" s="81">
        <f t="shared" si="2"/>
        <v>-1.161346870206692E-2</v>
      </c>
      <c r="E106" s="75"/>
      <c r="F106" s="78">
        <v>46069</v>
      </c>
      <c r="G106" s="77">
        <v>25571.25</v>
      </c>
      <c r="H106" s="58">
        <f t="shared" si="3"/>
        <v>3.9319071418195684E-3</v>
      </c>
    </row>
    <row r="107" spans="2:8" x14ac:dyDescent="0.3">
      <c r="B107" s="78">
        <v>46076</v>
      </c>
      <c r="C107" s="77">
        <v>1300.0999999999999</v>
      </c>
      <c r="D107" s="81">
        <f t="shared" si="2"/>
        <v>-3.9240319243275312E-2</v>
      </c>
      <c r="E107" s="75"/>
      <c r="F107" s="78">
        <v>46076</v>
      </c>
      <c r="G107" s="77">
        <v>25178.65</v>
      </c>
      <c r="H107" s="58">
        <f t="shared" si="3"/>
        <v>-1.5353179840641329E-2</v>
      </c>
    </row>
    <row r="108" spans="2:8" x14ac:dyDescent="0.3">
      <c r="B108" s="78">
        <v>46083</v>
      </c>
      <c r="C108" s="77">
        <v>1308.4000000000001</v>
      </c>
      <c r="D108" s="81">
        <f t="shared" si="2"/>
        <v>6.3841242981310664E-3</v>
      </c>
      <c r="E108" s="75"/>
      <c r="F108" s="78">
        <v>46083</v>
      </c>
      <c r="G108" s="77">
        <v>24450.45</v>
      </c>
      <c r="H108" s="58">
        <f t="shared" si="3"/>
        <v>-2.892132818876314E-2</v>
      </c>
    </row>
    <row r="109" spans="2:8" x14ac:dyDescent="0.3">
      <c r="E109" s="75"/>
      <c r="F109" s="78"/>
      <c r="G109" s="77"/>
      <c r="H109" s="58"/>
    </row>
    <row r="110" spans="2:8" x14ac:dyDescent="0.3">
      <c r="B110" s="78"/>
      <c r="C110" s="77"/>
      <c r="D110" s="81"/>
      <c r="E110" s="75"/>
      <c r="F110" s="75"/>
    </row>
  </sheetData>
  <mergeCells count="3">
    <mergeCell ref="B2:D2"/>
    <mergeCell ref="J2:K2"/>
    <mergeCell ref="F2:H2"/>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D4913-9C67-47BC-8DC8-0913D5599374}">
  <dimension ref="B2:G31"/>
  <sheetViews>
    <sheetView showGridLines="0" workbookViewId="0">
      <selection activeCell="G4" sqref="G4"/>
    </sheetView>
  </sheetViews>
  <sheetFormatPr defaultRowHeight="14.4" x14ac:dyDescent="0.3"/>
  <cols>
    <col min="1" max="1" width="1.88671875" customWidth="1"/>
    <col min="3" max="3" width="9.6640625" bestFit="1" customWidth="1"/>
    <col min="6" max="6" width="10.109375" customWidth="1"/>
    <col min="7" max="7" width="10" bestFit="1" customWidth="1"/>
  </cols>
  <sheetData>
    <row r="2" spans="2:7" x14ac:dyDescent="0.3">
      <c r="B2" s="90" t="s">
        <v>207</v>
      </c>
      <c r="C2" s="91"/>
      <c r="D2" s="91"/>
      <c r="E2" s="91"/>
      <c r="F2" s="91"/>
      <c r="G2" s="91"/>
    </row>
    <row r="3" spans="2:7" x14ac:dyDescent="0.3">
      <c r="B3" s="132"/>
      <c r="C3" s="133"/>
      <c r="D3" s="133"/>
      <c r="E3" s="133"/>
      <c r="F3" s="133"/>
      <c r="G3" s="133"/>
    </row>
    <row r="4" spans="2:7" x14ac:dyDescent="0.3">
      <c r="B4" s="92" t="s">
        <v>203</v>
      </c>
      <c r="C4" s="79" t="s">
        <v>204</v>
      </c>
      <c r="E4" t="s">
        <v>205</v>
      </c>
      <c r="G4" s="81">
        <f>AVERAGE(C4:C26)</f>
        <v>0.1594909090909091</v>
      </c>
    </row>
    <row r="5" spans="2:7" ht="16.2" x14ac:dyDescent="0.3">
      <c r="B5" s="72">
        <v>2000</v>
      </c>
      <c r="C5" s="81">
        <v>-0.14649999999999999</v>
      </c>
      <c r="E5" t="s">
        <v>208</v>
      </c>
      <c r="G5" s="52">
        <v>1.2800000000000001E-2</v>
      </c>
    </row>
    <row r="6" spans="2:7" x14ac:dyDescent="0.3">
      <c r="B6" s="72">
        <v>2001</v>
      </c>
      <c r="C6" s="81">
        <v>-0.1618</v>
      </c>
      <c r="E6" s="93" t="s">
        <v>206</v>
      </c>
      <c r="F6" s="93"/>
      <c r="G6" s="94">
        <f>SUM(G4:G5)</f>
        <v>0.17229090909090911</v>
      </c>
    </row>
    <row r="7" spans="2:7" x14ac:dyDescent="0.3">
      <c r="B7" s="72">
        <v>2002</v>
      </c>
      <c r="C7" s="81">
        <v>3.2500000000000001E-2</v>
      </c>
    </row>
    <row r="8" spans="2:7" x14ac:dyDescent="0.3">
      <c r="B8" s="72">
        <v>2003</v>
      </c>
      <c r="C8" s="81">
        <v>0.71900000000000008</v>
      </c>
    </row>
    <row r="9" spans="2:7" x14ac:dyDescent="0.3">
      <c r="B9" s="72">
        <v>2004</v>
      </c>
      <c r="C9" s="81">
        <v>0.10679999999999999</v>
      </c>
      <c r="G9" t="s">
        <v>87</v>
      </c>
    </row>
    <row r="10" spans="2:7" x14ac:dyDescent="0.3">
      <c r="B10" s="72">
        <v>2005</v>
      </c>
      <c r="C10" s="81">
        <v>0.36340000000000006</v>
      </c>
    </row>
    <row r="11" spans="2:7" x14ac:dyDescent="0.3">
      <c r="B11" s="72">
        <v>2006</v>
      </c>
      <c r="C11" s="81">
        <v>0.39829999999999999</v>
      </c>
    </row>
    <row r="12" spans="2:7" x14ac:dyDescent="0.3">
      <c r="B12" s="72">
        <v>2007</v>
      </c>
      <c r="C12" s="81">
        <v>0.54770000000000008</v>
      </c>
    </row>
    <row r="13" spans="2:7" x14ac:dyDescent="0.3">
      <c r="B13" s="72">
        <v>2008</v>
      </c>
      <c r="C13" s="81">
        <v>-0.51790000000000003</v>
      </c>
    </row>
    <row r="14" spans="2:7" x14ac:dyDescent="0.3">
      <c r="B14" s="72">
        <v>2009</v>
      </c>
      <c r="C14" s="81">
        <v>0.75760000000000005</v>
      </c>
    </row>
    <row r="15" spans="2:7" x14ac:dyDescent="0.3">
      <c r="B15" s="72">
        <v>2010</v>
      </c>
      <c r="C15" s="81">
        <v>0.17949999999999999</v>
      </c>
    </row>
    <row r="16" spans="2:7" x14ac:dyDescent="0.3">
      <c r="B16" s="72">
        <v>2011</v>
      </c>
      <c r="C16" s="81">
        <v>-0.2462</v>
      </c>
    </row>
    <row r="17" spans="2:3" x14ac:dyDescent="0.3">
      <c r="B17" s="72">
        <v>2012</v>
      </c>
      <c r="C17" s="81">
        <v>0.27699999999999997</v>
      </c>
    </row>
    <row r="18" spans="2:3" x14ac:dyDescent="0.3">
      <c r="B18" s="72">
        <v>2013</v>
      </c>
      <c r="C18" s="81">
        <v>6.7599999999999993E-2</v>
      </c>
    </row>
    <row r="19" spans="2:3" x14ac:dyDescent="0.3">
      <c r="B19" s="72">
        <v>2014</v>
      </c>
      <c r="C19" s="81">
        <v>0.31390000000000001</v>
      </c>
    </row>
    <row r="20" spans="2:3" x14ac:dyDescent="0.3">
      <c r="B20" s="72">
        <v>2015</v>
      </c>
      <c r="C20" s="81">
        <v>-4.0599999999999997E-2</v>
      </c>
    </row>
    <row r="21" spans="2:3" x14ac:dyDescent="0.3">
      <c r="B21" s="72">
        <v>2016</v>
      </c>
      <c r="C21" s="81">
        <v>3.0099999999999998E-2</v>
      </c>
    </row>
    <row r="22" spans="2:3" x14ac:dyDescent="0.3">
      <c r="B22" s="72">
        <v>2017</v>
      </c>
      <c r="C22" s="81">
        <v>0.28649999999999998</v>
      </c>
    </row>
    <row r="23" spans="2:3" x14ac:dyDescent="0.3">
      <c r="B23" s="72">
        <v>2018</v>
      </c>
      <c r="C23" s="81">
        <v>3.15E-2</v>
      </c>
    </row>
    <row r="24" spans="2:3" x14ac:dyDescent="0.3">
      <c r="B24" s="72">
        <v>2019</v>
      </c>
      <c r="C24" s="81">
        <v>0.1202</v>
      </c>
    </row>
    <row r="25" spans="2:3" x14ac:dyDescent="0.3">
      <c r="B25" s="72">
        <v>2020</v>
      </c>
      <c r="C25" s="81">
        <v>0.14899999999999999</v>
      </c>
    </row>
    <row r="26" spans="2:3" x14ac:dyDescent="0.3">
      <c r="B26" s="72">
        <v>2021</v>
      </c>
      <c r="C26" s="81">
        <v>0.2412</v>
      </c>
    </row>
    <row r="27" spans="2:3" x14ac:dyDescent="0.3">
      <c r="B27" s="72">
        <v>2022</v>
      </c>
      <c r="C27" s="81">
        <v>4.3200000000000002E-2</v>
      </c>
    </row>
    <row r="28" spans="2:3" x14ac:dyDescent="0.3">
      <c r="B28" s="72">
        <v>2023</v>
      </c>
      <c r="C28" s="81">
        <v>0.19420000000000001</v>
      </c>
    </row>
    <row r="29" spans="2:3" x14ac:dyDescent="0.3">
      <c r="B29" s="72">
        <v>2024</v>
      </c>
      <c r="C29" s="81">
        <v>8.7499999999999994E-2</v>
      </c>
    </row>
    <row r="30" spans="2:3" x14ac:dyDescent="0.3">
      <c r="B30" s="72">
        <v>2025</v>
      </c>
      <c r="C30" s="81">
        <v>0.1051</v>
      </c>
    </row>
    <row r="31" spans="2:3" x14ac:dyDescent="0.3">
      <c r="B31" s="72"/>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00AEF1-2B6C-420E-A1DB-0A982B3A454B}">
  <dimension ref="B2:T64"/>
  <sheetViews>
    <sheetView showGridLines="0" zoomScaleNormal="100" workbookViewId="0">
      <selection activeCell="E51" sqref="E51"/>
    </sheetView>
  </sheetViews>
  <sheetFormatPr defaultRowHeight="14.4" x14ac:dyDescent="0.3"/>
  <cols>
    <col min="1" max="1" width="1.88671875" customWidth="1"/>
    <col min="3" max="3" width="19.6640625" customWidth="1"/>
    <col min="7" max="7" width="13.5546875" bestFit="1" customWidth="1"/>
    <col min="11" max="11" width="10" bestFit="1" customWidth="1"/>
    <col min="19" max="19" width="26.77734375" bestFit="1" customWidth="1"/>
  </cols>
  <sheetData>
    <row r="2" spans="2:8" x14ac:dyDescent="0.3">
      <c r="B2" s="90" t="s">
        <v>212</v>
      </c>
      <c r="C2" s="91"/>
      <c r="D2" s="98">
        <f>'Historical FS'!H3</f>
        <v>44286</v>
      </c>
      <c r="E2" s="98">
        <f>'Historical FS'!I3</f>
        <v>44651</v>
      </c>
      <c r="F2" s="98">
        <f>'Historical FS'!J3</f>
        <v>45016</v>
      </c>
      <c r="G2" s="98">
        <f>'Historical FS'!K3</f>
        <v>45382</v>
      </c>
      <c r="H2" s="98">
        <f>'Historical FS'!L3</f>
        <v>45747</v>
      </c>
    </row>
    <row r="4" spans="2:8" x14ac:dyDescent="0.3">
      <c r="B4" s="25" t="s">
        <v>213</v>
      </c>
    </row>
    <row r="5" spans="2:8" x14ac:dyDescent="0.3">
      <c r="B5" s="99" t="s">
        <v>214</v>
      </c>
      <c r="C5" s="99"/>
      <c r="D5" s="100">
        <v>0</v>
      </c>
      <c r="E5" s="100">
        <v>0</v>
      </c>
      <c r="F5" s="100">
        <v>0</v>
      </c>
      <c r="G5" s="100">
        <v>0</v>
      </c>
      <c r="H5" s="100">
        <v>0</v>
      </c>
    </row>
    <row r="6" spans="2:8" x14ac:dyDescent="0.3">
      <c r="B6" s="99" t="s">
        <v>215</v>
      </c>
      <c r="C6" s="99"/>
      <c r="D6" s="100">
        <f>'Raw FS'!J33</f>
        <v>19294</v>
      </c>
      <c r="E6" s="100">
        <f>'Raw FS'!K33</f>
        <v>22698</v>
      </c>
      <c r="F6" s="100">
        <f>'Raw FS'!L33</f>
        <v>25424</v>
      </c>
      <c r="G6" s="100">
        <f>'Raw FS'!M33</f>
        <v>30193</v>
      </c>
      <c r="H6" s="100">
        <f>'Raw FS'!N33</f>
        <v>31158</v>
      </c>
    </row>
    <row r="7" spans="2:8" x14ac:dyDescent="0.3">
      <c r="B7" s="99" t="s">
        <v>216</v>
      </c>
      <c r="C7" s="99"/>
      <c r="D7" s="100">
        <f>'Raw FS'!J35</f>
        <v>1460</v>
      </c>
      <c r="E7" s="100">
        <f>'Raw FS'!K35</f>
        <v>2491</v>
      </c>
      <c r="F7" s="100">
        <f>'Raw FS'!L35</f>
        <v>3242</v>
      </c>
      <c r="G7" s="100">
        <f>'Raw FS'!M35</f>
        <v>10330</v>
      </c>
      <c r="H7" s="100">
        <f>'Raw FS'!N35</f>
        <v>6717</v>
      </c>
    </row>
    <row r="8" spans="2:8" x14ac:dyDescent="0.3">
      <c r="B8" t="s">
        <v>217</v>
      </c>
      <c r="D8" s="100">
        <f>'Raw FS'!J36</f>
        <v>21411</v>
      </c>
      <c r="E8" s="100">
        <f>'Raw FS'!K36</f>
        <v>27528</v>
      </c>
      <c r="F8" s="100">
        <f>'Raw FS'!L36</f>
        <v>34766</v>
      </c>
      <c r="G8" s="100">
        <f>'Raw FS'!M36</f>
        <v>29513</v>
      </c>
      <c r="H8" s="100">
        <f>'Raw FS'!N36</f>
        <v>30149</v>
      </c>
    </row>
    <row r="9" spans="2:8" x14ac:dyDescent="0.3">
      <c r="B9" s="102" t="s">
        <v>84</v>
      </c>
      <c r="C9" s="34"/>
      <c r="D9" s="103">
        <f>SUM(D6:D8)</f>
        <v>42165</v>
      </c>
      <c r="E9" s="103">
        <f t="shared" ref="E9:H9" si="0">SUM(E6:E8)</f>
        <v>52717</v>
      </c>
      <c r="F9" s="103">
        <f t="shared" si="0"/>
        <v>63432</v>
      </c>
      <c r="G9" s="103">
        <f t="shared" si="0"/>
        <v>70036</v>
      </c>
      <c r="H9" s="103">
        <f t="shared" si="0"/>
        <v>68024</v>
      </c>
    </row>
    <row r="10" spans="2:8" x14ac:dyDescent="0.3">
      <c r="D10" s="101"/>
      <c r="E10" s="101"/>
      <c r="F10" s="101"/>
      <c r="G10" s="101"/>
      <c r="H10" s="101"/>
    </row>
    <row r="11" spans="2:8" x14ac:dyDescent="0.3">
      <c r="B11" s="25" t="s">
        <v>218</v>
      </c>
      <c r="D11" s="101"/>
      <c r="E11" s="101"/>
      <c r="F11" s="101"/>
      <c r="G11" s="101"/>
      <c r="H11" s="101"/>
    </row>
    <row r="12" spans="2:8" x14ac:dyDescent="0.3">
      <c r="B12" s="99" t="s">
        <v>219</v>
      </c>
      <c r="C12" s="99"/>
      <c r="D12" s="100">
        <f>'Raw FS'!J10</f>
        <v>2645</v>
      </c>
      <c r="E12" s="100">
        <f>'Raw FS'!K10</f>
        <v>4134</v>
      </c>
      <c r="F12" s="100">
        <f>'Raw FS'!L10</f>
        <v>3865</v>
      </c>
      <c r="G12" s="100">
        <f>'Raw FS'!M10</f>
        <v>3956</v>
      </c>
      <c r="H12" s="100">
        <f>'Raw FS'!N10</f>
        <v>4164</v>
      </c>
    </row>
    <row r="13" spans="2:8" x14ac:dyDescent="0.3">
      <c r="B13" s="99" t="s">
        <v>220</v>
      </c>
      <c r="C13" s="99"/>
      <c r="D13" s="100">
        <f>'Raw FS'!J11</f>
        <v>0</v>
      </c>
      <c r="E13" s="100">
        <f>'Raw FS'!K11</f>
        <v>0</v>
      </c>
      <c r="F13" s="100">
        <f>'Raw FS'!L11</f>
        <v>0</v>
      </c>
      <c r="G13" s="100">
        <f>'Raw FS'!M11</f>
        <v>0</v>
      </c>
      <c r="H13" s="100">
        <f>'Raw FS'!N11</f>
        <v>0</v>
      </c>
    </row>
    <row r="14" spans="2:8" x14ac:dyDescent="0.3">
      <c r="B14" s="99" t="s">
        <v>221</v>
      </c>
      <c r="C14" s="99"/>
      <c r="D14" s="100">
        <f>'Raw FS'!J12</f>
        <v>22759</v>
      </c>
      <c r="E14" s="100">
        <f>'Raw FS'!K12</f>
        <v>31385</v>
      </c>
      <c r="F14" s="100">
        <f>'Raw FS'!L12</f>
        <v>36637</v>
      </c>
      <c r="G14" s="100">
        <f>'Raw FS'!M12</f>
        <v>36584</v>
      </c>
      <c r="H14" s="100">
        <f>'Raw FS'!N12</f>
        <v>39201</v>
      </c>
    </row>
    <row r="15" spans="2:8" x14ac:dyDescent="0.3">
      <c r="B15" s="102" t="s">
        <v>222</v>
      </c>
      <c r="C15" s="34"/>
      <c r="D15" s="103">
        <f>SUM(D12:D14)</f>
        <v>25404</v>
      </c>
      <c r="E15" s="103">
        <f t="shared" ref="E15:H15" si="1">SUM(E12:E14)</f>
        <v>35519</v>
      </c>
      <c r="F15" s="103">
        <f t="shared" si="1"/>
        <v>40502</v>
      </c>
      <c r="G15" s="103">
        <f t="shared" si="1"/>
        <v>40540</v>
      </c>
      <c r="H15" s="103">
        <f t="shared" si="1"/>
        <v>43365</v>
      </c>
    </row>
    <row r="16" spans="2:8" x14ac:dyDescent="0.3">
      <c r="D16" s="101"/>
      <c r="E16" s="101"/>
      <c r="F16" s="101"/>
      <c r="G16" s="101"/>
      <c r="H16" s="101"/>
    </row>
    <row r="17" spans="2:13" ht="15" thickBot="1" x14ac:dyDescent="0.35">
      <c r="B17" s="104" t="s">
        <v>223</v>
      </c>
      <c r="C17" s="104"/>
      <c r="D17" s="105">
        <f>D9-D15</f>
        <v>16761</v>
      </c>
      <c r="E17" s="105">
        <f t="shared" ref="E17:H17" si="2">E9-E15</f>
        <v>17198</v>
      </c>
      <c r="F17" s="105">
        <f t="shared" si="2"/>
        <v>22930</v>
      </c>
      <c r="G17" s="105">
        <f t="shared" si="2"/>
        <v>29496</v>
      </c>
      <c r="H17" s="105">
        <f t="shared" si="2"/>
        <v>24659</v>
      </c>
      <c r="J17" s="101"/>
      <c r="K17" s="101"/>
      <c r="L17" s="101"/>
      <c r="M17" s="101"/>
    </row>
    <row r="18" spans="2:13" x14ac:dyDescent="0.3">
      <c r="D18" s="101"/>
      <c r="E18" s="101"/>
      <c r="F18" s="101"/>
      <c r="G18" s="101"/>
      <c r="H18" s="101"/>
    </row>
    <row r="19" spans="2:13" x14ac:dyDescent="0.3">
      <c r="B19" s="25" t="s">
        <v>224</v>
      </c>
      <c r="D19" s="101"/>
      <c r="E19" s="101"/>
      <c r="F19" s="101"/>
      <c r="G19" s="101"/>
      <c r="H19" s="101"/>
    </row>
    <row r="20" spans="2:13" x14ac:dyDescent="0.3">
      <c r="B20" s="99" t="s">
        <v>225</v>
      </c>
      <c r="C20" s="99"/>
      <c r="D20" s="100">
        <f>'Raw FS'!J16</f>
        <v>2036</v>
      </c>
      <c r="E20" s="100">
        <f>'Raw FS'!K16</f>
        <v>2065</v>
      </c>
      <c r="F20" s="100">
        <f>'Raw FS'!L16</f>
        <v>2054</v>
      </c>
      <c r="G20" s="100">
        <f>'Raw FS'!M16</f>
        <v>2037</v>
      </c>
      <c r="H20" s="100">
        <f>'Raw FS'!N16</f>
        <v>2079</v>
      </c>
    </row>
    <row r="21" spans="2:13" x14ac:dyDescent="0.3">
      <c r="B21" s="99" t="s">
        <v>226</v>
      </c>
      <c r="C21" s="99"/>
      <c r="D21" s="100">
        <f>'Raw FS'!J17</f>
        <v>16328</v>
      </c>
      <c r="E21" s="100">
        <f>'Raw FS'!K17</f>
        <v>16761</v>
      </c>
      <c r="F21" s="100">
        <f>'Raw FS'!L17</f>
        <v>16903</v>
      </c>
      <c r="G21" s="100">
        <f>'Raw FS'!M17</f>
        <v>16515</v>
      </c>
      <c r="H21" s="100">
        <f>'Raw FS'!N17</f>
        <v>16376</v>
      </c>
    </row>
    <row r="22" spans="2:13" x14ac:dyDescent="0.3">
      <c r="B22" s="99" t="s">
        <v>227</v>
      </c>
      <c r="C22" s="99"/>
      <c r="D22" s="100">
        <f>'Raw FS'!J18</f>
        <v>3296</v>
      </c>
      <c r="E22" s="100">
        <f>'Raw FS'!K18</f>
        <v>3210</v>
      </c>
      <c r="F22" s="100">
        <f>'Raw FS'!L18</f>
        <v>3302</v>
      </c>
      <c r="G22" s="100">
        <f>'Raw FS'!M18</f>
        <v>3428</v>
      </c>
      <c r="H22" s="100">
        <f>'Raw FS'!N18</f>
        <v>3461</v>
      </c>
    </row>
    <row r="23" spans="2:13" x14ac:dyDescent="0.3">
      <c r="B23" s="99" t="s">
        <v>228</v>
      </c>
      <c r="C23" s="99"/>
      <c r="D23" s="100">
        <f>'Raw FS'!J19</f>
        <v>1371</v>
      </c>
      <c r="E23" s="100">
        <f>'Raw FS'!K19</f>
        <v>1427</v>
      </c>
      <c r="F23" s="100">
        <f>'Raw FS'!L19</f>
        <v>1482</v>
      </c>
      <c r="G23" s="100">
        <f>'Raw FS'!M19</f>
        <v>1528</v>
      </c>
      <c r="H23" s="100">
        <f>'Raw FS'!N19</f>
        <v>1628</v>
      </c>
    </row>
    <row r="24" spans="2:13" x14ac:dyDescent="0.3">
      <c r="B24" s="99" t="s">
        <v>283</v>
      </c>
      <c r="C24" s="99"/>
      <c r="D24" s="100">
        <f>'Raw FS'!J20</f>
        <v>8650</v>
      </c>
      <c r="E24" s="100">
        <f>'Raw FS'!K20</f>
        <v>9936</v>
      </c>
      <c r="F24" s="100">
        <f>'Raw FS'!L20</f>
        <v>11898</v>
      </c>
      <c r="G24" s="100">
        <f>'Raw FS'!M20</f>
        <v>12353</v>
      </c>
      <c r="H24" s="100">
        <f>'Raw FS'!N20</f>
        <v>12925</v>
      </c>
    </row>
    <row r="25" spans="2:13" x14ac:dyDescent="0.3">
      <c r="B25" s="99" t="s">
        <v>229</v>
      </c>
      <c r="C25" s="99"/>
      <c r="D25" s="100">
        <f>'Raw FS'!J21</f>
        <v>2149</v>
      </c>
      <c r="E25" s="100">
        <f>'Raw FS'!K21</f>
        <v>2279</v>
      </c>
      <c r="F25" s="100">
        <f>'Raw FS'!L21</f>
        <v>2303</v>
      </c>
      <c r="G25" s="100">
        <f>'Raw FS'!M21</f>
        <v>2326</v>
      </c>
      <c r="H25" s="100">
        <f>'Raw FS'!N21</f>
        <v>2340</v>
      </c>
    </row>
    <row r="26" spans="2:13" x14ac:dyDescent="0.3">
      <c r="B26" s="99" t="s">
        <v>230</v>
      </c>
      <c r="C26" s="99"/>
      <c r="D26" s="100">
        <f>'Raw FS'!J22</f>
        <v>74</v>
      </c>
      <c r="E26" s="100">
        <f>'Raw FS'!K22</f>
        <v>71</v>
      </c>
      <c r="F26" s="100">
        <f>'Raw FS'!L22</f>
        <v>60</v>
      </c>
      <c r="G26" s="100">
        <f>'Raw FS'!M22</f>
        <v>62</v>
      </c>
      <c r="H26" s="100">
        <f>'Raw FS'!N22</f>
        <v>72</v>
      </c>
    </row>
    <row r="27" spans="2:13" x14ac:dyDescent="0.3">
      <c r="B27" s="99" t="s">
        <v>231</v>
      </c>
      <c r="C27" s="99"/>
      <c r="D27" s="100">
        <f>'Raw FS'!J23</f>
        <v>6372</v>
      </c>
      <c r="E27" s="100">
        <f>'Raw FS'!K23</f>
        <v>6495</v>
      </c>
      <c r="F27" s="100">
        <f>'Raw FS'!L23</f>
        <v>7594</v>
      </c>
      <c r="G27" s="100">
        <f>'Raw FS'!M23</f>
        <v>7653</v>
      </c>
      <c r="H27" s="100">
        <f>'Raw FS'!N23</f>
        <v>10626</v>
      </c>
    </row>
    <row r="28" spans="2:13" x14ac:dyDescent="0.3">
      <c r="B28" s="99" t="s">
        <v>232</v>
      </c>
      <c r="C28" s="99"/>
      <c r="D28" s="100">
        <f>'Raw FS'!J24</f>
        <v>2730</v>
      </c>
      <c r="E28" s="100">
        <f>'Raw FS'!K24</f>
        <v>2766</v>
      </c>
      <c r="F28" s="100">
        <f>'Raw FS'!L24</f>
        <v>3281</v>
      </c>
      <c r="G28" s="100">
        <f>'Raw FS'!M24</f>
        <v>3294</v>
      </c>
      <c r="H28" s="100">
        <f>'Raw FS'!N24</f>
        <v>5184</v>
      </c>
    </row>
    <row r="29" spans="2:13" ht="4.2" customHeight="1" x14ac:dyDescent="0.3">
      <c r="B29" s="99"/>
      <c r="C29" s="99"/>
      <c r="D29" s="100"/>
      <c r="E29" s="100"/>
      <c r="F29" s="100"/>
      <c r="G29" s="100"/>
      <c r="H29" s="100"/>
    </row>
    <row r="30" spans="2:13" x14ac:dyDescent="0.3">
      <c r="B30" s="102" t="s">
        <v>233</v>
      </c>
      <c r="C30" s="34"/>
      <c r="D30" s="103">
        <f>SUM(D20:D28)</f>
        <v>43006</v>
      </c>
      <c r="E30" s="103">
        <f t="shared" ref="E30:H30" si="3">SUM(E20:E28)</f>
        <v>45010</v>
      </c>
      <c r="F30" s="103">
        <f t="shared" si="3"/>
        <v>48877</v>
      </c>
      <c r="G30" s="103">
        <f t="shared" si="3"/>
        <v>49196</v>
      </c>
      <c r="H30" s="103">
        <f t="shared" si="3"/>
        <v>54691</v>
      </c>
    </row>
    <row r="31" spans="2:13" x14ac:dyDescent="0.3">
      <c r="B31" t="s">
        <v>234</v>
      </c>
      <c r="D31" s="101">
        <f>'Raw FS'!J26</f>
        <v>17501</v>
      </c>
      <c r="E31" s="101">
        <f>'Raw FS'!K26</f>
        <v>19210</v>
      </c>
      <c r="F31" s="101">
        <f>'Raw FS'!L26</f>
        <v>19652</v>
      </c>
      <c r="G31" s="101">
        <f>'Raw FS'!M26</f>
        <v>21574</v>
      </c>
      <c r="H31" s="101">
        <f>'Raw FS'!N26</f>
        <v>23730</v>
      </c>
    </row>
    <row r="32" spans="2:13" ht="15" thickBot="1" x14ac:dyDescent="0.35">
      <c r="B32" s="104" t="s">
        <v>235</v>
      </c>
      <c r="C32" s="104"/>
      <c r="D32" s="105">
        <f>D30-D31</f>
        <v>25505</v>
      </c>
      <c r="E32" s="105">
        <f t="shared" ref="E32:H32" si="4">E30-E31</f>
        <v>25800</v>
      </c>
      <c r="F32" s="105">
        <f t="shared" si="4"/>
        <v>29225</v>
      </c>
      <c r="G32" s="105">
        <f t="shared" si="4"/>
        <v>27622</v>
      </c>
      <c r="H32" s="105">
        <f t="shared" si="4"/>
        <v>30961</v>
      </c>
    </row>
    <row r="33" spans="2:9" x14ac:dyDescent="0.3">
      <c r="D33" s="101"/>
      <c r="E33" s="101"/>
      <c r="F33" s="101"/>
      <c r="G33" s="101"/>
      <c r="H33" s="101"/>
    </row>
    <row r="34" spans="2:9" x14ac:dyDescent="0.3">
      <c r="B34" s="25" t="s">
        <v>236</v>
      </c>
      <c r="C34" s="25"/>
      <c r="D34" s="106">
        <f>D32+D17</f>
        <v>42266</v>
      </c>
      <c r="E34" s="172">
        <f t="shared" ref="E34:H34" si="5">E32+E17</f>
        <v>42998</v>
      </c>
      <c r="F34" s="106">
        <f t="shared" si="5"/>
        <v>52155</v>
      </c>
      <c r="G34" s="106">
        <f t="shared" si="5"/>
        <v>57118</v>
      </c>
      <c r="H34" s="106">
        <f t="shared" si="5"/>
        <v>55620</v>
      </c>
    </row>
    <row r="35" spans="2:9" x14ac:dyDescent="0.3">
      <c r="B35" s="25" t="s">
        <v>237</v>
      </c>
      <c r="C35" s="25"/>
      <c r="D35" s="106">
        <f>'Historical FS'!H27+'Historical FS'!H21</f>
        <v>24622</v>
      </c>
      <c r="E35" s="106">
        <f>'Historical FS'!I27+'Historical FS'!I21</f>
        <v>28015</v>
      </c>
      <c r="F35" s="106">
        <f>'Historical FS'!J27+'Historical FS'!J21</f>
        <v>30905</v>
      </c>
      <c r="G35" s="106">
        <f>'Historical FS'!K27+'Historical FS'!K21</f>
        <v>31747</v>
      </c>
      <c r="H35" s="106">
        <f>'Historical FS'!L27+'Historical FS'!L21</f>
        <v>34424</v>
      </c>
    </row>
    <row r="37" spans="2:9" ht="15" thickBot="1" x14ac:dyDescent="0.35">
      <c r="B37" s="104" t="s">
        <v>238</v>
      </c>
      <c r="C37" s="107"/>
      <c r="D37" s="108">
        <f>D35/D34</f>
        <v>0.58254862064070412</v>
      </c>
      <c r="E37" s="108">
        <f t="shared" ref="E37:H37" si="6">E35/E34</f>
        <v>0.65154193218289225</v>
      </c>
      <c r="F37" s="108">
        <f t="shared" si="6"/>
        <v>0.59256063656408786</v>
      </c>
      <c r="G37" s="108">
        <f t="shared" si="6"/>
        <v>0.55581427921145699</v>
      </c>
      <c r="H37" s="108">
        <f t="shared" si="6"/>
        <v>0.61891405969075874</v>
      </c>
    </row>
    <row r="40" spans="2:9" x14ac:dyDescent="0.3">
      <c r="B40" s="90" t="s">
        <v>239</v>
      </c>
      <c r="C40" s="91"/>
      <c r="D40" s="98">
        <f>D2</f>
        <v>44286</v>
      </c>
      <c r="E40" s="98">
        <f>E2</f>
        <v>44651</v>
      </c>
      <c r="F40" s="98">
        <f>F2</f>
        <v>45016</v>
      </c>
      <c r="G40" s="98">
        <f>G2</f>
        <v>45382</v>
      </c>
      <c r="H40" s="98">
        <f>H2</f>
        <v>45747</v>
      </c>
      <c r="I40" s="134"/>
    </row>
    <row r="42" spans="2:9" x14ac:dyDescent="0.3">
      <c r="B42" s="99" t="s">
        <v>240</v>
      </c>
      <c r="C42" s="99"/>
      <c r="D42" s="100">
        <f>-SUM('Raw FS'!J49:J50)</f>
        <v>2107</v>
      </c>
      <c r="E42" s="100">
        <f>-SUM('Raw FS'!K49:K50)</f>
        <v>2161</v>
      </c>
      <c r="F42" s="100">
        <f>-SUM('Raw FS'!L49:L50)</f>
        <v>2579</v>
      </c>
      <c r="G42" s="100">
        <f>-SUM('Raw FS'!M49:M50)</f>
        <v>2201</v>
      </c>
      <c r="H42" s="100">
        <f>-SUM('Raw FS'!N49:N50)</f>
        <v>2237</v>
      </c>
    </row>
    <row r="43" spans="2:9" x14ac:dyDescent="0.3">
      <c r="B43" s="99" t="s">
        <v>241</v>
      </c>
      <c r="C43" s="99"/>
      <c r="D43" s="100"/>
      <c r="E43" s="100">
        <f>E17-D17</f>
        <v>437</v>
      </c>
      <c r="F43" s="100">
        <f t="shared" ref="F43:G43" si="7">F17-E17</f>
        <v>5732</v>
      </c>
      <c r="G43" s="100">
        <f t="shared" si="7"/>
        <v>6566</v>
      </c>
      <c r="H43" s="100">
        <f>H17-G17</f>
        <v>-4837</v>
      </c>
    </row>
    <row r="44" spans="2:9" x14ac:dyDescent="0.3">
      <c r="B44" s="99"/>
      <c r="C44" s="99"/>
      <c r="D44" s="100"/>
      <c r="E44" s="100"/>
      <c r="F44" s="100"/>
      <c r="G44" s="100"/>
      <c r="H44" s="100"/>
    </row>
    <row r="45" spans="2:9" x14ac:dyDescent="0.3">
      <c r="B45" s="99" t="s">
        <v>237</v>
      </c>
      <c r="C45" s="99"/>
      <c r="D45" s="100">
        <f>D35</f>
        <v>24622</v>
      </c>
      <c r="E45" s="100">
        <f t="shared" ref="E45:H45" si="8">E35</f>
        <v>28015</v>
      </c>
      <c r="F45" s="100">
        <f t="shared" si="8"/>
        <v>30905</v>
      </c>
      <c r="G45" s="100">
        <f t="shared" si="8"/>
        <v>31747</v>
      </c>
      <c r="H45" s="100">
        <f t="shared" si="8"/>
        <v>34424</v>
      </c>
    </row>
    <row r="46" spans="2:9" x14ac:dyDescent="0.3">
      <c r="B46" s="99" t="s">
        <v>242</v>
      </c>
      <c r="C46" s="99"/>
      <c r="D46" s="109">
        <v>0.25</v>
      </c>
      <c r="E46" s="109">
        <v>0.25</v>
      </c>
      <c r="F46" s="109">
        <v>0.25</v>
      </c>
      <c r="G46" s="109">
        <v>0.25</v>
      </c>
      <c r="H46" s="109">
        <v>0.25</v>
      </c>
    </row>
    <row r="47" spans="2:9" x14ac:dyDescent="0.3">
      <c r="B47" s="99" t="s">
        <v>243</v>
      </c>
      <c r="C47" s="99"/>
      <c r="D47" s="110">
        <f>D45*(1-D46)</f>
        <v>18466.5</v>
      </c>
      <c r="E47" s="110">
        <f t="shared" ref="E47:H47" si="9">E45*(1-E46)</f>
        <v>21011.25</v>
      </c>
      <c r="F47" s="110">
        <f t="shared" si="9"/>
        <v>23178.75</v>
      </c>
      <c r="G47" s="110">
        <f t="shared" si="9"/>
        <v>23810.25</v>
      </c>
      <c r="H47" s="110">
        <f t="shared" si="9"/>
        <v>25818</v>
      </c>
    </row>
    <row r="48" spans="2:9" x14ac:dyDescent="0.3">
      <c r="B48" s="99"/>
      <c r="C48" s="99"/>
      <c r="D48" s="100"/>
      <c r="E48" s="100"/>
      <c r="F48" s="100"/>
      <c r="G48" s="100"/>
      <c r="H48" s="100"/>
    </row>
    <row r="49" spans="2:20" x14ac:dyDescent="0.3">
      <c r="B49" s="99" t="s">
        <v>244</v>
      </c>
      <c r="C49" s="99"/>
      <c r="D49" s="100"/>
      <c r="E49" s="100">
        <f>SUM(E42:E43)</f>
        <v>2598</v>
      </c>
      <c r="F49" s="100">
        <f t="shared" ref="F49:G49" si="10">SUM(F42:F43)</f>
        <v>8311</v>
      </c>
      <c r="G49" s="100">
        <f t="shared" si="10"/>
        <v>8767</v>
      </c>
      <c r="H49" s="100">
        <f>SUM(H42:H43)</f>
        <v>-2600</v>
      </c>
    </row>
    <row r="50" spans="2:20" ht="4.2" customHeight="1" x14ac:dyDescent="0.3">
      <c r="E50" s="111"/>
      <c r="F50" s="111"/>
      <c r="G50" s="111"/>
      <c r="H50" s="111"/>
    </row>
    <row r="51" spans="2:20" ht="15" thickBot="1" x14ac:dyDescent="0.35">
      <c r="B51" s="104" t="s">
        <v>245</v>
      </c>
      <c r="C51" s="104"/>
      <c r="D51" s="104"/>
      <c r="E51" s="108">
        <f>E49/E47</f>
        <v>0.12364804568980903</v>
      </c>
      <c r="F51" s="108">
        <f t="shared" ref="F51" si="11">F49/F47</f>
        <v>0.35856118211724103</v>
      </c>
      <c r="G51" s="108">
        <f>G49/G47</f>
        <v>0.36820276981552064</v>
      </c>
      <c r="H51" s="108">
        <f>H49/H47</f>
        <v>-0.10070493454179255</v>
      </c>
    </row>
    <row r="52" spans="2:20" x14ac:dyDescent="0.3">
      <c r="E52" s="58"/>
      <c r="F52" s="58"/>
      <c r="G52" s="58"/>
      <c r="H52" s="58"/>
      <c r="T52" s="128"/>
    </row>
    <row r="53" spans="2:20" x14ac:dyDescent="0.3">
      <c r="G53" s="66" t="s">
        <v>287</v>
      </c>
      <c r="H53" s="67">
        <f>AVERAGE(E51:H51)</f>
        <v>0.18742676577019454</v>
      </c>
      <c r="T53" s="43"/>
    </row>
    <row r="54" spans="2:20" x14ac:dyDescent="0.3">
      <c r="G54" s="66" t="s">
        <v>288</v>
      </c>
      <c r="H54" s="67">
        <f>MEDIAN(E51:H51)</f>
        <v>0.24110461390352503</v>
      </c>
      <c r="T54" s="43"/>
    </row>
    <row r="56" spans="2:20" x14ac:dyDescent="0.3">
      <c r="B56" s="90" t="s">
        <v>246</v>
      </c>
      <c r="C56" s="91"/>
      <c r="D56" s="98">
        <f>D40</f>
        <v>44286</v>
      </c>
      <c r="E56" s="98">
        <f t="shared" ref="E56:H56" si="12">E40</f>
        <v>44651</v>
      </c>
      <c r="F56" s="98">
        <f t="shared" si="12"/>
        <v>45016</v>
      </c>
      <c r="G56" s="98">
        <f t="shared" si="12"/>
        <v>45382</v>
      </c>
      <c r="H56" s="98">
        <f t="shared" si="12"/>
        <v>45747</v>
      </c>
      <c r="S56" s="25"/>
      <c r="T56" s="130"/>
    </row>
    <row r="58" spans="2:20" x14ac:dyDescent="0.3">
      <c r="B58" s="99" t="s">
        <v>245</v>
      </c>
      <c r="C58" s="99"/>
      <c r="D58" s="99"/>
      <c r="E58" s="112">
        <f>E51</f>
        <v>0.12364804568980903</v>
      </c>
      <c r="F58" s="112">
        <f t="shared" ref="F58:H58" si="13">F51</f>
        <v>0.35856118211724103</v>
      </c>
      <c r="G58" s="112">
        <f t="shared" si="13"/>
        <v>0.36820276981552064</v>
      </c>
      <c r="H58" s="112">
        <f t="shared" si="13"/>
        <v>-0.10070493454179255</v>
      </c>
    </row>
    <row r="59" spans="2:20" x14ac:dyDescent="0.3">
      <c r="B59" s="99" t="s">
        <v>238</v>
      </c>
      <c r="C59" s="99"/>
      <c r="D59" s="99"/>
      <c r="E59" s="112">
        <f>E37</f>
        <v>0.65154193218289225</v>
      </c>
      <c r="F59" s="112">
        <f t="shared" ref="F59:H59" si="14">F37</f>
        <v>0.59256063656408786</v>
      </c>
      <c r="G59" s="112">
        <f t="shared" si="14"/>
        <v>0.55581427921145699</v>
      </c>
      <c r="H59" s="112">
        <f t="shared" si="14"/>
        <v>0.61891405969075874</v>
      </c>
    </row>
    <row r="61" spans="2:20" ht="15" thickBot="1" x14ac:dyDescent="0.35">
      <c r="B61" s="104" t="s">
        <v>247</v>
      </c>
      <c r="C61" s="104"/>
      <c r="D61" s="104"/>
      <c r="E61" s="113">
        <f>E58*E59</f>
        <v>8.0561886599376714E-2</v>
      </c>
      <c r="F61" s="113">
        <f t="shared" ref="F61:H61" si="15">F58*F59</f>
        <v>0.21246924232256417</v>
      </c>
      <c r="G61" s="113">
        <f t="shared" si="15"/>
        <v>0.2046523571086756</v>
      </c>
      <c r="H61" s="113">
        <f t="shared" si="15"/>
        <v>-6.2327699868152946E-2</v>
      </c>
    </row>
    <row r="63" spans="2:20" x14ac:dyDescent="0.3">
      <c r="G63" s="66" t="s">
        <v>287</v>
      </c>
      <c r="H63" s="67">
        <f>AVERAGE(E61:H61)</f>
        <v>0.10883894654061589</v>
      </c>
    </row>
    <row r="64" spans="2:20" x14ac:dyDescent="0.3">
      <c r="G64" s="66" t="s">
        <v>288</v>
      </c>
      <c r="H64" s="67">
        <f>MEDIAN(E61:H61)</f>
        <v>0.14260712185402616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19AB40-0407-40D6-A888-4D8455CB17F5}">
  <dimension ref="B2:R45"/>
  <sheetViews>
    <sheetView showGridLines="0" topLeftCell="A16" zoomScale="80" zoomScaleNormal="80" workbookViewId="0">
      <selection activeCell="I45" sqref="I45"/>
    </sheetView>
  </sheetViews>
  <sheetFormatPr defaultRowHeight="14.4" x14ac:dyDescent="0.3"/>
  <cols>
    <col min="1" max="1" width="1.88671875" customWidth="1"/>
    <col min="2" max="2" width="33.6640625" bestFit="1" customWidth="1"/>
    <col min="3" max="3" width="24.88671875" customWidth="1"/>
    <col min="4" max="4" width="13" customWidth="1"/>
    <col min="5" max="5" width="7.88671875" customWidth="1"/>
    <col min="6" max="7" width="17.6640625" bestFit="1" customWidth="1"/>
    <col min="8" max="9" width="13.33203125" bestFit="1" customWidth="1"/>
    <col min="10" max="10" width="15.77734375" bestFit="1" customWidth="1"/>
    <col min="11" max="11" width="15.6640625" bestFit="1" customWidth="1"/>
    <col min="12" max="12" width="20.21875" bestFit="1" customWidth="1"/>
    <col min="14" max="14" width="14.33203125" bestFit="1" customWidth="1"/>
    <col min="15" max="15" width="12.6640625" bestFit="1" customWidth="1"/>
    <col min="16" max="16" width="11.21875" bestFit="1" customWidth="1"/>
    <col min="17" max="17" width="11.109375" bestFit="1" customWidth="1"/>
    <col min="18" max="18" width="16.21875" bestFit="1" customWidth="1"/>
  </cols>
  <sheetData>
    <row r="2" spans="2:13" x14ac:dyDescent="0.3">
      <c r="B2" s="90" t="s">
        <v>248</v>
      </c>
      <c r="C2" s="90"/>
      <c r="D2" s="90"/>
      <c r="E2" s="90"/>
      <c r="F2" s="114">
        <f>'Historical FS'!L3</f>
        <v>45747</v>
      </c>
      <c r="G2" s="115">
        <f>F2+365</f>
        <v>46112</v>
      </c>
      <c r="H2" s="115">
        <f t="shared" ref="H2:K2" si="0">G2+365</f>
        <v>46477</v>
      </c>
      <c r="I2" s="115">
        <f t="shared" si="0"/>
        <v>46842</v>
      </c>
      <c r="J2" s="115">
        <f t="shared" si="0"/>
        <v>47207</v>
      </c>
      <c r="K2" s="115">
        <f t="shared" si="0"/>
        <v>47572</v>
      </c>
    </row>
    <row r="4" spans="2:13" x14ac:dyDescent="0.3">
      <c r="B4" s="116" t="s">
        <v>237</v>
      </c>
      <c r="C4" s="116"/>
      <c r="D4" s="116"/>
      <c r="E4" s="116"/>
      <c r="F4" s="117">
        <f>'Data Sheet'!K33-'Data Sheet'!K26</f>
        <v>37987</v>
      </c>
      <c r="G4" s="165">
        <f>F4*(1+$C$14)</f>
        <v>43404.21673786889</v>
      </c>
      <c r="H4" s="165">
        <f>G4*(1+$C$14)</f>
        <v>49593.967163184716</v>
      </c>
      <c r="I4" s="165">
        <f t="shared" ref="I4:K4" si="1">H4*(1+$C$14)</f>
        <v>56666.420081649572</v>
      </c>
      <c r="J4" s="165">
        <f t="shared" si="1"/>
        <v>64747.455155264804</v>
      </c>
      <c r="K4" s="165">
        <f t="shared" si="1"/>
        <v>73980.90338232975</v>
      </c>
    </row>
    <row r="5" spans="2:13" x14ac:dyDescent="0.3">
      <c r="B5" s="116" t="s">
        <v>146</v>
      </c>
      <c r="C5" s="116"/>
      <c r="D5" s="116"/>
      <c r="E5" s="116"/>
      <c r="F5" s="118">
        <v>0.25</v>
      </c>
      <c r="G5" s="164">
        <v>0.25</v>
      </c>
      <c r="H5" s="164">
        <v>0.25</v>
      </c>
      <c r="I5" s="164">
        <v>0.25</v>
      </c>
      <c r="J5" s="164">
        <v>0.25</v>
      </c>
      <c r="K5" s="164">
        <v>0.25</v>
      </c>
    </row>
    <row r="6" spans="2:13" x14ac:dyDescent="0.3">
      <c r="B6" s="116" t="s">
        <v>243</v>
      </c>
      <c r="C6" s="116"/>
      <c r="D6" s="116"/>
      <c r="E6" s="116"/>
      <c r="F6" s="117">
        <f>F4*(1-F5)</f>
        <v>28490.25</v>
      </c>
      <c r="G6" s="165">
        <f t="shared" ref="G6:K6" si="2">G4*(1-G5)</f>
        <v>32553.162553401668</v>
      </c>
      <c r="H6" s="165">
        <f t="shared" si="2"/>
        <v>37195.475372388537</v>
      </c>
      <c r="I6" s="165">
        <f t="shared" si="2"/>
        <v>42499.815061237183</v>
      </c>
      <c r="J6" s="165">
        <f t="shared" si="2"/>
        <v>48560.5913664486</v>
      </c>
      <c r="K6" s="165">
        <f t="shared" si="2"/>
        <v>55485.677536747316</v>
      </c>
    </row>
    <row r="7" spans="2:13" x14ac:dyDescent="0.3">
      <c r="B7" s="116" t="s">
        <v>249</v>
      </c>
      <c r="C7" s="116"/>
      <c r="D7" s="116"/>
      <c r="E7" s="116"/>
      <c r="F7" s="120">
        <f>'Intrinsic Growth'!H54</f>
        <v>0.24110461390352503</v>
      </c>
      <c r="G7" s="119">
        <f>F7+(($K$7-$F$7)/4)</f>
        <v>0.24332846042764378</v>
      </c>
      <c r="H7" s="119">
        <f t="shared" ref="H7:I7" si="3">G7+(($K$7-$F$7)/4)</f>
        <v>0.24555230695176253</v>
      </c>
      <c r="I7" s="119">
        <f t="shared" si="3"/>
        <v>0.24777615347588128</v>
      </c>
      <c r="J7" s="119">
        <f>I7+(($K$7-$F$7)/4)</f>
        <v>0.25</v>
      </c>
      <c r="K7" s="121">
        <v>0.25</v>
      </c>
    </row>
    <row r="8" spans="2:13" x14ac:dyDescent="0.3">
      <c r="B8" s="116" t="s">
        <v>250</v>
      </c>
      <c r="C8" s="116"/>
      <c r="D8" s="116"/>
      <c r="E8" s="116"/>
      <c r="F8" s="117">
        <f>F6*(1-F7)</f>
        <v>21621.119273735098</v>
      </c>
      <c r="G8" s="165">
        <f t="shared" ref="G8:K8" si="4">G6*(1-G7)</f>
        <v>24632.051627231616</v>
      </c>
      <c r="H8" s="165">
        <f t="shared" si="4"/>
        <v>28062.040586531064</v>
      </c>
      <c r="I8" s="165">
        <f t="shared" si="4"/>
        <v>31969.374361927505</v>
      </c>
      <c r="J8" s="165">
        <f t="shared" si="4"/>
        <v>36420.443524836446</v>
      </c>
      <c r="K8" s="165">
        <f t="shared" si="4"/>
        <v>41614.258152560491</v>
      </c>
    </row>
    <row r="9" spans="2:13" x14ac:dyDescent="0.3">
      <c r="B9" s="116" t="s">
        <v>251</v>
      </c>
      <c r="C9" s="116"/>
      <c r="D9" s="116"/>
      <c r="E9" s="116"/>
      <c r="F9" s="122"/>
      <c r="G9" s="123">
        <v>0.5</v>
      </c>
      <c r="H9" s="116">
        <f>G9+1</f>
        <v>1.5</v>
      </c>
      <c r="I9" s="116">
        <f t="shared" ref="I9:K9" si="5">H9+1</f>
        <v>2.5</v>
      </c>
      <c r="J9" s="116">
        <f t="shared" si="5"/>
        <v>3.5</v>
      </c>
      <c r="K9" s="116">
        <f t="shared" si="5"/>
        <v>4.5</v>
      </c>
    </row>
    <row r="10" spans="2:13" x14ac:dyDescent="0.3">
      <c r="B10" s="116" t="s">
        <v>252</v>
      </c>
      <c r="C10" s="116"/>
      <c r="D10" s="116"/>
      <c r="E10" s="116"/>
      <c r="F10" s="122"/>
      <c r="G10" s="124">
        <f>1/(1+$C$16)^G9</f>
        <v>0.9316543952445292</v>
      </c>
      <c r="H10" s="124">
        <f>1/(1+$C$16)^H9</f>
        <v>0.80865730016501303</v>
      </c>
      <c r="I10" s="124">
        <f>1/(1+$C$16)^I9</f>
        <v>0.70189829237969015</v>
      </c>
      <c r="J10" s="124">
        <f>1/(1+$C$16)^J9</f>
        <v>0.60923361817792709</v>
      </c>
      <c r="K10" s="124">
        <f>1/(1+$C$16)^K9</f>
        <v>0.52880254240223623</v>
      </c>
      <c r="M10" s="191"/>
    </row>
    <row r="11" spans="2:13" ht="4.8" customHeight="1" x14ac:dyDescent="0.3">
      <c r="F11" s="125"/>
    </row>
    <row r="12" spans="2:13" ht="15" thickBot="1" x14ac:dyDescent="0.35">
      <c r="B12" s="126" t="s">
        <v>253</v>
      </c>
      <c r="C12" s="126"/>
      <c r="D12" s="126"/>
      <c r="E12" s="126"/>
      <c r="F12" s="127"/>
      <c r="G12" s="188">
        <f>G8*G10</f>
        <v>22948.559162400492</v>
      </c>
      <c r="H12" s="188">
        <f>H8*H10</f>
        <v>22692.573977825228</v>
      </c>
      <c r="I12" s="188">
        <f t="shared" ref="I12:K12" si="6">I8*I10</f>
        <v>22439.249273083962</v>
      </c>
      <c r="J12" s="188">
        <f t="shared" si="6"/>
        <v>22188.558584280963</v>
      </c>
      <c r="K12" s="188">
        <f t="shared" si="6"/>
        <v>22005.725511256973</v>
      </c>
    </row>
    <row r="13" spans="2:13" ht="15" thickTop="1" x14ac:dyDescent="0.3"/>
    <row r="14" spans="2:13" x14ac:dyDescent="0.3">
      <c r="B14" s="125" t="s">
        <v>254</v>
      </c>
      <c r="C14" s="64">
        <f>'Intrinsic Growth'!H64</f>
        <v>0.14260712185402616</v>
      </c>
    </row>
    <row r="15" spans="2:13" x14ac:dyDescent="0.3">
      <c r="B15" s="125" t="s">
        <v>292</v>
      </c>
      <c r="C15" s="163">
        <v>7.3999999999999996E-2</v>
      </c>
      <c r="E15" s="90" t="s">
        <v>289</v>
      </c>
      <c r="F15" s="90"/>
      <c r="G15" s="90"/>
      <c r="H15" s="90"/>
      <c r="I15" s="90"/>
      <c r="J15" s="90"/>
    </row>
    <row r="16" spans="2:13" x14ac:dyDescent="0.3">
      <c r="B16" s="125" t="s">
        <v>161</v>
      </c>
      <c r="C16" s="64">
        <f>WACC!J40</f>
        <v>0.15210039537690148</v>
      </c>
      <c r="G16" s="213" t="s">
        <v>161</v>
      </c>
      <c r="H16" s="213"/>
      <c r="I16" s="213"/>
      <c r="J16" s="213"/>
    </row>
    <row r="17" spans="2:18" x14ac:dyDescent="0.3">
      <c r="F17" s="173">
        <f>C37</f>
        <v>1110.7337183831762</v>
      </c>
      <c r="G17" s="175">
        <v>0.13</v>
      </c>
      <c r="H17" s="175">
        <v>0.15210000000000001</v>
      </c>
      <c r="I17" s="175">
        <v>0.17</v>
      </c>
      <c r="J17" s="175">
        <v>0.19</v>
      </c>
    </row>
    <row r="18" spans="2:18" x14ac:dyDescent="0.3">
      <c r="B18" s="90" t="s">
        <v>255</v>
      </c>
      <c r="C18" s="90"/>
      <c r="E18" s="212" t="s">
        <v>291</v>
      </c>
      <c r="F18" s="167">
        <v>0.05</v>
      </c>
      <c r="G18" s="128">
        <f t="dataTable" ref="G18:J22" dt2D="1" dtr="1" r1="C21" r2="C22" ca="1"/>
        <v>1091.8833485992045</v>
      </c>
      <c r="H18" s="128">
        <v>924.12798281913103</v>
      </c>
      <c r="I18" s="128">
        <v>833.54514579158001</v>
      </c>
      <c r="J18" s="128">
        <v>759.73423070368722</v>
      </c>
    </row>
    <row r="19" spans="2:18" x14ac:dyDescent="0.3">
      <c r="E19" s="212"/>
      <c r="F19" s="167">
        <v>0.06</v>
      </c>
      <c r="G19" s="128">
        <v>1202.5997212310438</v>
      </c>
      <c r="H19" s="128">
        <v>990.06275400727429</v>
      </c>
      <c r="I19" s="128">
        <v>880.51572812023903</v>
      </c>
      <c r="J19" s="128">
        <v>793.80080689809927</v>
      </c>
    </row>
    <row r="20" spans="2:18" x14ac:dyDescent="0.3">
      <c r="B20" t="s">
        <v>256</v>
      </c>
      <c r="C20" s="128">
        <f>K8*(1+C14)</f>
        <v>47548.747735787583</v>
      </c>
      <c r="E20" s="212"/>
      <c r="F20" s="167">
        <v>7.3999999999999996E-2</v>
      </c>
      <c r="G20" s="128">
        <v>1424.0324664947216</v>
      </c>
      <c r="H20" s="190">
        <v>1110.7377372804267</v>
      </c>
      <c r="I20" s="128">
        <v>962.7142471953922</v>
      </c>
      <c r="J20" s="128">
        <v>851.36157357141622</v>
      </c>
    </row>
    <row r="21" spans="2:18" x14ac:dyDescent="0.3">
      <c r="B21" t="s">
        <v>161</v>
      </c>
      <c r="C21" s="43">
        <f>C16</f>
        <v>0.15210039537690148</v>
      </c>
      <c r="E21" s="212"/>
      <c r="F21" s="167">
        <v>0.08</v>
      </c>
      <c r="G21" s="128">
        <v>1556.8921136529289</v>
      </c>
      <c r="H21" s="128">
        <v>1176.8017314915858</v>
      </c>
      <c r="I21" s="128">
        <v>1005.7706143299963</v>
      </c>
      <c r="J21" s="128">
        <v>880.51572812023903</v>
      </c>
    </row>
    <row r="22" spans="2:18" x14ac:dyDescent="0.3">
      <c r="B22" t="s">
        <v>257</v>
      </c>
      <c r="C22" s="43">
        <f>C15</f>
        <v>7.3999999999999996E-2</v>
      </c>
      <c r="E22" s="212"/>
      <c r="F22" s="167">
        <v>0.09</v>
      </c>
      <c r="G22" s="128">
        <v>1866.8979570220781</v>
      </c>
      <c r="H22" s="128">
        <v>1315.2772534425128</v>
      </c>
      <c r="I22" s="128">
        <v>1091.8833485992045</v>
      </c>
      <c r="J22" s="128">
        <v>936.88042691462977</v>
      </c>
    </row>
    <row r="24" spans="2:18" ht="15" thickBot="1" x14ac:dyDescent="0.35">
      <c r="B24" s="126" t="s">
        <v>258</v>
      </c>
      <c r="C24" s="129">
        <f>C20/(C21-C22)</f>
        <v>608815.7109362128</v>
      </c>
      <c r="E24" s="90" t="s">
        <v>290</v>
      </c>
      <c r="F24" s="90"/>
      <c r="G24" s="90"/>
      <c r="H24" s="90"/>
      <c r="I24" s="90"/>
      <c r="J24" s="90"/>
    </row>
    <row r="25" spans="2:18" ht="15" thickTop="1" x14ac:dyDescent="0.3">
      <c r="G25" s="213" t="s">
        <v>161</v>
      </c>
      <c r="H25" s="213"/>
      <c r="I25" s="213"/>
      <c r="J25" s="213"/>
      <c r="L25" s="128"/>
      <c r="M25" s="175"/>
      <c r="N25" s="175"/>
      <c r="O25" s="175"/>
      <c r="P25" s="175"/>
    </row>
    <row r="26" spans="2:18" x14ac:dyDescent="0.3">
      <c r="B26" s="90" t="s">
        <v>259</v>
      </c>
      <c r="C26" s="90"/>
      <c r="F26" s="173">
        <f>C24</f>
        <v>608815.7109362128</v>
      </c>
      <c r="G26" s="175">
        <v>0.13</v>
      </c>
      <c r="H26" s="175">
        <v>0.15210000000000001</v>
      </c>
      <c r="I26" s="175">
        <v>0.17</v>
      </c>
      <c r="J26" s="175">
        <v>0.19</v>
      </c>
      <c r="L26" s="167"/>
    </row>
    <row r="27" spans="2:18" x14ac:dyDescent="0.3">
      <c r="E27" s="212" t="s">
        <v>291</v>
      </c>
      <c r="F27" s="167">
        <v>0.05</v>
      </c>
      <c r="G27" s="128">
        <f t="dataTable" ref="G27:J31" dt2D="1" dtr="1" r1="C21" r2="C22"/>
        <v>594359.34669734479</v>
      </c>
      <c r="H27" s="128">
        <v>465707.61739263055</v>
      </c>
      <c r="I27" s="128">
        <v>396239.56446489651</v>
      </c>
      <c r="J27" s="128">
        <v>339633.91239848273</v>
      </c>
      <c r="L27" s="167"/>
    </row>
    <row r="28" spans="2:18" x14ac:dyDescent="0.3">
      <c r="B28" t="s">
        <v>260</v>
      </c>
      <c r="C28" s="128">
        <f>SUM(G12:K12)</f>
        <v>112274.66650884761</v>
      </c>
      <c r="E28" s="212"/>
      <c r="F28" s="167">
        <v>0.06</v>
      </c>
      <c r="G28" s="128">
        <v>679267.82479696546</v>
      </c>
      <c r="H28" s="128">
        <v>516273.04816273157</v>
      </c>
      <c r="I28" s="128">
        <v>432261.34305261436</v>
      </c>
      <c r="J28" s="128">
        <v>365759.59796759678</v>
      </c>
      <c r="L28" s="167"/>
    </row>
    <row r="29" spans="2:18" x14ac:dyDescent="0.3">
      <c r="B29" t="s">
        <v>261</v>
      </c>
      <c r="C29" s="128">
        <f>C24*K10</f>
        <v>321943.29579749424</v>
      </c>
      <c r="E29" s="212"/>
      <c r="F29" s="167">
        <v>7.3999999999999996E-2</v>
      </c>
      <c r="G29" s="128">
        <v>849084.78099620668</v>
      </c>
      <c r="H29" s="190">
        <v>608818.79303185118</v>
      </c>
      <c r="I29" s="128">
        <v>495299.45558112056</v>
      </c>
      <c r="J29" s="128">
        <v>409902.99772230675</v>
      </c>
      <c r="L29" s="167"/>
    </row>
    <row r="30" spans="2:18" x14ac:dyDescent="0.3">
      <c r="B30" s="25" t="s">
        <v>262</v>
      </c>
      <c r="C30" s="130">
        <f>SUM(C28:C29)</f>
        <v>434217.96230634185</v>
      </c>
      <c r="E30" s="212"/>
      <c r="F30" s="167">
        <v>0.08</v>
      </c>
      <c r="G30" s="128">
        <v>950974.95471575158</v>
      </c>
      <c r="H30" s="128">
        <v>659483.32504559739</v>
      </c>
      <c r="I30" s="128">
        <v>528319.4192865286</v>
      </c>
      <c r="J30" s="128">
        <v>432261.34305261436</v>
      </c>
      <c r="L30" s="167"/>
    </row>
    <row r="31" spans="2:18" x14ac:dyDescent="0.3">
      <c r="B31" s="25"/>
      <c r="C31" s="130"/>
      <c r="E31" s="212"/>
      <c r="F31" s="167">
        <v>0.09</v>
      </c>
      <c r="G31" s="128">
        <v>1188718.6933946894</v>
      </c>
      <c r="H31" s="128">
        <v>765680.31780656311</v>
      </c>
      <c r="I31" s="128">
        <v>594359.34669734468</v>
      </c>
      <c r="J31" s="128">
        <v>475487.47735787579</v>
      </c>
      <c r="N31" s="170"/>
      <c r="O31" s="168"/>
      <c r="P31" s="169"/>
      <c r="Q31" s="168"/>
      <c r="R31" s="168"/>
    </row>
    <row r="32" spans="2:18" x14ac:dyDescent="0.3">
      <c r="B32" t="s">
        <v>263</v>
      </c>
      <c r="C32" s="128">
        <f>'Data Sheet'!K69</f>
        <v>24455</v>
      </c>
      <c r="N32" s="166"/>
    </row>
    <row r="33" spans="2:14" x14ac:dyDescent="0.3">
      <c r="B33" t="s">
        <v>264</v>
      </c>
      <c r="C33" s="128">
        <f>'Raw FS'!N7</f>
        <v>8227</v>
      </c>
      <c r="N33" s="166"/>
    </row>
    <row r="34" spans="2:14" x14ac:dyDescent="0.3">
      <c r="B34" s="25" t="s">
        <v>265</v>
      </c>
      <c r="C34" s="130">
        <f>C30+C32-C33</f>
        <v>450445.96230634185</v>
      </c>
      <c r="N34" s="167"/>
    </row>
    <row r="35" spans="2:14" x14ac:dyDescent="0.3">
      <c r="B35" t="s">
        <v>266</v>
      </c>
      <c r="C35" s="48">
        <f>'Data Sheet'!B6</f>
        <v>405.53910883521854</v>
      </c>
      <c r="H35" s="79"/>
      <c r="I35" s="174"/>
      <c r="J35" s="79"/>
      <c r="N35" s="166"/>
    </row>
    <row r="36" spans="2:14" ht="3.6" customHeight="1" x14ac:dyDescent="0.3">
      <c r="C36" s="48"/>
      <c r="N36" s="166">
        <v>0.09</v>
      </c>
    </row>
    <row r="37" spans="2:14" x14ac:dyDescent="0.3">
      <c r="B37" s="44" t="s">
        <v>267</v>
      </c>
      <c r="C37" s="171">
        <f>C34/C35</f>
        <v>1110.7337183831762</v>
      </c>
    </row>
    <row r="39" spans="2:14" x14ac:dyDescent="0.3">
      <c r="B39" t="s">
        <v>268</v>
      </c>
      <c r="C39" s="111">
        <v>1315</v>
      </c>
    </row>
    <row r="40" spans="2:14" x14ac:dyDescent="0.3">
      <c r="B40" t="s">
        <v>269</v>
      </c>
      <c r="C40" s="131">
        <f>C39/C37</f>
        <v>1.1839021164443995</v>
      </c>
    </row>
    <row r="42" spans="2:14" ht="3.6" customHeight="1" x14ac:dyDescent="0.3"/>
    <row r="45" spans="2:14" x14ac:dyDescent="0.3">
      <c r="C45" s="128"/>
    </row>
  </sheetData>
  <scenarios current="1" show="1" sqref="G43">
    <scenario name="Base" locked="1" count="5" user="ker Mahekkumar" comment="Created by ker Mahekkumar on 3/11/2026_x000a_Modified by ker Mahekkumar on 3/11/2026">
      <inputCells r="G37" val="0.0625"/>
      <inputCells r="G38" val="0.2222" numFmtId="10"/>
      <inputCells r="G39" val="0.1521" numFmtId="10"/>
      <inputCells r="G40" val="0.074" numFmtId="10"/>
      <inputCells r="G41" val="-0.1007" numFmtId="10"/>
    </scenario>
    <scenario name="Bull" locked="1" count="5" user="ker Mahekkumar" comment="Created by ker Mahekkumar on 3/11/2026_x000a_Modified by ker Mahekkumar on 3/11/2026_x000a_Modified by ker Mahekkumar on 3/13/2026">
      <inputCells r="G37" val="0.09"/>
      <inputCells r="G38" val="0.3" numFmtId="10"/>
      <inputCells r="G39" val="0.18" numFmtId="10"/>
      <inputCells r="G40" val="0.11" numFmtId="10"/>
      <inputCells r="G41" val="-0.07" numFmtId="10"/>
    </scenario>
    <scenario name="Bear" locked="1" count="5" user="ker Mahekkumar" comment="Created by ker Mahekkumar on 3/11/2026_x000a_Modified by ker Mahekkumar on 3/11/2026">
      <inputCells r="G37" val="0.03"/>
      <inputCells r="G38" val="0.18" numFmtId="10"/>
      <inputCells r="G39" val="0.12" numFmtId="10"/>
      <inputCells r="G40" val="0.05" numFmtId="10"/>
      <inputCells r="G41" val="-0.14" numFmtId="10"/>
    </scenario>
  </scenarios>
  <mergeCells count="4">
    <mergeCell ref="E27:E31"/>
    <mergeCell ref="G25:J25"/>
    <mergeCell ref="E18:E22"/>
    <mergeCell ref="G16:J16"/>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E1302E-1AF5-4CA5-B900-F61DE6FA9D3B}">
  <dimension ref="B1:N113"/>
  <sheetViews>
    <sheetView showGridLines="0" topLeftCell="A3" zoomScale="80" zoomScaleNormal="80" workbookViewId="0">
      <selection activeCell="J45" sqref="J45"/>
    </sheetView>
  </sheetViews>
  <sheetFormatPr defaultRowHeight="14.4" x14ac:dyDescent="0.3"/>
  <cols>
    <col min="1" max="1" width="1.88671875" customWidth="1"/>
    <col min="2" max="2" width="64.77734375" customWidth="1"/>
    <col min="3" max="3" width="9.6640625" customWidth="1"/>
  </cols>
  <sheetData>
    <row r="1" spans="2:9" x14ac:dyDescent="0.3">
      <c r="B1" s="184"/>
      <c r="C1" s="184"/>
      <c r="D1" s="184"/>
      <c r="E1" s="184"/>
      <c r="F1" s="184"/>
      <c r="G1" s="184"/>
      <c r="H1" s="184"/>
      <c r="I1" s="184"/>
    </row>
    <row r="2" spans="2:9" s="7" customFormat="1" x14ac:dyDescent="0.3"/>
    <row r="3" spans="2:9" ht="28.8" x14ac:dyDescent="0.55000000000000004">
      <c r="B3" s="205" t="str">
        <f>'Data Sheet'!B1</f>
        <v>INFOSYS LTD</v>
      </c>
    </row>
    <row r="4" spans="2:9" x14ac:dyDescent="0.3">
      <c r="B4" t="s">
        <v>309</v>
      </c>
    </row>
    <row r="5" spans="2:9" ht="18" x14ac:dyDescent="0.35">
      <c r="B5" s="197">
        <v>1262.4000000000001</v>
      </c>
    </row>
    <row r="6" spans="2:9" x14ac:dyDescent="0.3">
      <c r="B6" t="s">
        <v>293</v>
      </c>
    </row>
    <row r="7" spans="2:9" ht="3.6" customHeight="1" thickBot="1" x14ac:dyDescent="0.35">
      <c r="B7" s="177"/>
      <c r="C7" s="177"/>
      <c r="D7" s="177"/>
      <c r="E7" s="177"/>
      <c r="F7" s="177"/>
      <c r="G7" s="177"/>
      <c r="I7" s="177"/>
    </row>
    <row r="8" spans="2:9" ht="18" x14ac:dyDescent="0.35">
      <c r="B8" s="198" t="s">
        <v>294</v>
      </c>
      <c r="H8" s="185"/>
    </row>
    <row r="9" spans="2:9" ht="14.4" customHeight="1" x14ac:dyDescent="0.3"/>
    <row r="10" spans="2:9" x14ac:dyDescent="0.3">
      <c r="C10" s="72"/>
    </row>
    <row r="13" spans="2:9" ht="4.8" customHeight="1" x14ac:dyDescent="0.3">
      <c r="B13" s="176"/>
    </row>
    <row r="14" spans="2:9" ht="18" x14ac:dyDescent="0.35">
      <c r="B14" s="204" t="s">
        <v>307</v>
      </c>
    </row>
    <row r="22" spans="14:14" x14ac:dyDescent="0.3">
      <c r="N22" t="s">
        <v>87</v>
      </c>
    </row>
    <row r="39" spans="2:2" x14ac:dyDescent="0.3">
      <c r="B39" t="s">
        <v>87</v>
      </c>
    </row>
    <row r="56" spans="2:9" ht="15.6" x14ac:dyDescent="0.3">
      <c r="B56" s="207"/>
      <c r="C56" s="207"/>
      <c r="D56" s="207"/>
      <c r="E56" s="207"/>
      <c r="F56" s="207"/>
      <c r="G56" s="207"/>
      <c r="H56" s="207"/>
      <c r="I56" s="207"/>
    </row>
    <row r="57" spans="2:9" ht="15" customHeight="1" x14ac:dyDescent="0.3">
      <c r="B57" s="186"/>
      <c r="C57" s="186"/>
      <c r="D57" s="186"/>
      <c r="E57" s="186"/>
      <c r="F57" s="186"/>
      <c r="G57" s="186"/>
      <c r="H57" s="186"/>
      <c r="I57" s="186"/>
    </row>
    <row r="58" spans="2:9" ht="15.6" customHeight="1" x14ac:dyDescent="0.4">
      <c r="B58" s="206" t="s">
        <v>308</v>
      </c>
      <c r="C58" s="187"/>
      <c r="D58" s="187"/>
      <c r="E58" s="187"/>
      <c r="F58" s="187"/>
      <c r="G58" s="187"/>
      <c r="H58" s="187"/>
      <c r="I58" s="187"/>
    </row>
    <row r="59" spans="2:9" ht="9" customHeight="1" x14ac:dyDescent="0.3"/>
    <row r="60" spans="2:9" ht="15.6" x14ac:dyDescent="0.3">
      <c r="B60" s="207" t="s">
        <v>295</v>
      </c>
      <c r="C60" s="207"/>
      <c r="D60" s="207"/>
      <c r="E60" s="207"/>
      <c r="F60" s="207"/>
      <c r="G60" s="207"/>
      <c r="H60" s="207"/>
      <c r="I60" s="207"/>
    </row>
    <row r="61" spans="2:9" x14ac:dyDescent="0.3">
      <c r="C61" s="178">
        <f>'Historical FS'!F3</f>
        <v>43555</v>
      </c>
      <c r="D61" s="178">
        <f>'Historical FS'!G3</f>
        <v>43921</v>
      </c>
      <c r="E61" s="178">
        <f>'Historical FS'!H3</f>
        <v>44286</v>
      </c>
      <c r="F61" s="178">
        <f>'Historical FS'!I3</f>
        <v>44651</v>
      </c>
      <c r="G61" s="178">
        <f>'Historical FS'!J3</f>
        <v>45016</v>
      </c>
      <c r="H61" s="178">
        <f>'Historical FS'!K3</f>
        <v>45382</v>
      </c>
      <c r="I61" s="178">
        <f>'Historical FS'!L3</f>
        <v>45747</v>
      </c>
    </row>
    <row r="62" spans="2:9" x14ac:dyDescent="0.3">
      <c r="B62" t="s">
        <v>72</v>
      </c>
      <c r="C62" s="181">
        <f>'Data Sheet'!E30</f>
        <v>15404</v>
      </c>
      <c r="D62" s="181">
        <f>'Data Sheet'!F30</f>
        <v>16594</v>
      </c>
      <c r="E62" s="181">
        <f>'Data Sheet'!G30</f>
        <v>19351</v>
      </c>
      <c r="F62" s="181">
        <f>'Data Sheet'!H30</f>
        <v>22110</v>
      </c>
      <c r="G62" s="181">
        <f>'Data Sheet'!I30</f>
        <v>24095</v>
      </c>
      <c r="H62" s="181">
        <f>'Data Sheet'!J30</f>
        <v>26233</v>
      </c>
      <c r="I62" s="181">
        <f>'Data Sheet'!K30</f>
        <v>26713</v>
      </c>
    </row>
    <row r="63" spans="2:9" x14ac:dyDescent="0.3">
      <c r="B63" t="s">
        <v>296</v>
      </c>
      <c r="C63" s="181">
        <f>(('Data Sheet'!E57+'Data Sheet'!E58)+('Data Sheet'!D57+'Data Sheet'!D58))/2</f>
        <v>64935.5</v>
      </c>
      <c r="D63" s="181">
        <f>(('Data Sheet'!F57+'Data Sheet'!F58)+('Data Sheet'!E57+'Data Sheet'!E58))/2</f>
        <v>65199</v>
      </c>
      <c r="E63" s="181">
        <f>(('Data Sheet'!G57+'Data Sheet'!G58)+('Data Sheet'!F57+'Data Sheet'!F58))/2</f>
        <v>70900.5</v>
      </c>
      <c r="F63" s="181">
        <f>(('Data Sheet'!H57+'Data Sheet'!H58)+('Data Sheet'!G57+'Data Sheet'!G58))/2</f>
        <v>75850.5</v>
      </c>
      <c r="G63" s="181">
        <f>(('Data Sheet'!I57+'Data Sheet'!I58)+('Data Sheet'!H57+'Data Sheet'!H58))/2</f>
        <v>75378.5</v>
      </c>
      <c r="H63" s="181">
        <f>(('Data Sheet'!J57+'Data Sheet'!J58)+('Data Sheet'!I57+'Data Sheet'!I58))/2</f>
        <v>81761.5</v>
      </c>
      <c r="I63" s="181">
        <f>(('Data Sheet'!K57+'Data Sheet'!K58)+('Data Sheet'!J57+'Data Sheet'!J58))/2</f>
        <v>91967</v>
      </c>
    </row>
    <row r="64" spans="2:9" x14ac:dyDescent="0.3">
      <c r="B64" s="179" t="s">
        <v>295</v>
      </c>
      <c r="C64" s="180">
        <f>C62/C63</f>
        <v>0.23722001062592882</v>
      </c>
      <c r="D64" s="180">
        <f t="shared" ref="D64:I64" si="0">D62/D63</f>
        <v>0.2545131060292336</v>
      </c>
      <c r="E64" s="180">
        <f t="shared" si="0"/>
        <v>0.27293178468417006</v>
      </c>
      <c r="F64" s="180">
        <f t="shared" si="0"/>
        <v>0.29149445290406789</v>
      </c>
      <c r="G64" s="180">
        <f t="shared" si="0"/>
        <v>0.31965348209370048</v>
      </c>
      <c r="H64" s="180">
        <f t="shared" si="0"/>
        <v>0.3208478318034772</v>
      </c>
      <c r="I64" s="180">
        <f t="shared" si="0"/>
        <v>0.29046288342557658</v>
      </c>
    </row>
    <row r="66" spans="2:9" ht="15.6" x14ac:dyDescent="0.3">
      <c r="B66" s="207" t="s">
        <v>297</v>
      </c>
      <c r="C66" s="207"/>
      <c r="D66" s="207"/>
      <c r="E66" s="207"/>
      <c r="F66" s="207"/>
      <c r="G66" s="207"/>
      <c r="H66" s="207"/>
      <c r="I66" s="207"/>
    </row>
    <row r="67" spans="2:9" x14ac:dyDescent="0.3">
      <c r="C67" s="178">
        <f t="shared" ref="C67:H67" si="1">C61</f>
        <v>43555</v>
      </c>
      <c r="D67" s="178">
        <f t="shared" si="1"/>
        <v>43921</v>
      </c>
      <c r="E67" s="178">
        <f t="shared" si="1"/>
        <v>44286</v>
      </c>
      <c r="F67" s="178">
        <f t="shared" si="1"/>
        <v>44651</v>
      </c>
      <c r="G67" s="178">
        <f t="shared" si="1"/>
        <v>45016</v>
      </c>
      <c r="H67" s="178">
        <f t="shared" si="1"/>
        <v>45382</v>
      </c>
      <c r="I67" s="178">
        <f>I61</f>
        <v>45747</v>
      </c>
    </row>
    <row r="68" spans="2:9" x14ac:dyDescent="0.3">
      <c r="B68" t="s">
        <v>72</v>
      </c>
      <c r="C68" s="181">
        <f t="shared" ref="C68:H68" si="2">C62</f>
        <v>15404</v>
      </c>
      <c r="D68" s="181">
        <f t="shared" si="2"/>
        <v>16594</v>
      </c>
      <c r="E68" s="181">
        <f t="shared" si="2"/>
        <v>19351</v>
      </c>
      <c r="F68" s="181">
        <f t="shared" si="2"/>
        <v>22110</v>
      </c>
      <c r="G68" s="181">
        <f t="shared" si="2"/>
        <v>24095</v>
      </c>
      <c r="H68" s="181">
        <f t="shared" si="2"/>
        <v>26233</v>
      </c>
      <c r="I68" s="181">
        <f>I62</f>
        <v>26713</v>
      </c>
    </row>
    <row r="69" spans="2:9" x14ac:dyDescent="0.3">
      <c r="B69" t="s">
        <v>299</v>
      </c>
      <c r="C69" s="181">
        <f>'Data Sheet'!E17</f>
        <v>82675</v>
      </c>
      <c r="D69" s="181">
        <f>'Data Sheet'!F17</f>
        <v>90791</v>
      </c>
      <c r="E69" s="181">
        <f>'Data Sheet'!G17</f>
        <v>100472</v>
      </c>
      <c r="F69" s="181">
        <f>'Data Sheet'!H17</f>
        <v>121641</v>
      </c>
      <c r="G69" s="181">
        <f>'Data Sheet'!I17</f>
        <v>146767</v>
      </c>
      <c r="H69" s="181">
        <f>'Data Sheet'!J17</f>
        <v>153670</v>
      </c>
      <c r="I69" s="181">
        <f>'Data Sheet'!K17</f>
        <v>162990</v>
      </c>
    </row>
    <row r="70" spans="2:9" x14ac:dyDescent="0.3">
      <c r="B70" s="179" t="s">
        <v>298</v>
      </c>
      <c r="C70" s="180">
        <f t="shared" ref="C70" si="3">C68/C69</f>
        <v>0.1863199274266707</v>
      </c>
      <c r="D70" s="180">
        <f t="shared" ref="D70" si="4">D68/D69</f>
        <v>0.182771420074677</v>
      </c>
      <c r="E70" s="180">
        <f t="shared" ref="E70" si="5">E68/E69</f>
        <v>0.19260092364041723</v>
      </c>
      <c r="F70" s="180">
        <f t="shared" ref="F70" si="6">F68/F69</f>
        <v>0.18176437221002786</v>
      </c>
      <c r="G70" s="180">
        <f t="shared" ref="G70" si="7">G68/G69</f>
        <v>0.16417178248516356</v>
      </c>
      <c r="H70" s="180">
        <f t="shared" ref="H70" si="8">H68/H69</f>
        <v>0.17070996290752913</v>
      </c>
      <c r="I70" s="180">
        <f>I68/I69</f>
        <v>0.16389349039818393</v>
      </c>
    </row>
    <row r="72" spans="2:9" x14ac:dyDescent="0.3">
      <c r="B72" t="s">
        <v>299</v>
      </c>
      <c r="C72" s="181">
        <f>C69</f>
        <v>82675</v>
      </c>
      <c r="D72" s="181">
        <f t="shared" ref="D72:I72" si="9">D69</f>
        <v>90791</v>
      </c>
      <c r="E72" s="181">
        <f t="shared" si="9"/>
        <v>100472</v>
      </c>
      <c r="F72" s="181">
        <f t="shared" si="9"/>
        <v>121641</v>
      </c>
      <c r="G72" s="181">
        <f t="shared" si="9"/>
        <v>146767</v>
      </c>
      <c r="H72" s="181">
        <f t="shared" si="9"/>
        <v>153670</v>
      </c>
      <c r="I72" s="181">
        <f t="shared" si="9"/>
        <v>162990</v>
      </c>
    </row>
    <row r="73" spans="2:9" x14ac:dyDescent="0.3">
      <c r="B73" t="s">
        <v>300</v>
      </c>
      <c r="C73" s="181">
        <f>('Data Sheet'!E66+'Data Sheet'!D66)/2</f>
        <v>81707.5</v>
      </c>
      <c r="D73" s="181">
        <f>('Data Sheet'!F66+'Data Sheet'!E66)/2</f>
        <v>87933</v>
      </c>
      <c r="E73" s="181">
        <f>('Data Sheet'!G66+'Data Sheet'!F66)/2</f>
        <v>99655.5</v>
      </c>
      <c r="F73" s="181">
        <f>('Data Sheet'!H66+'Data Sheet'!G66)/2</f>
        <v>112120</v>
      </c>
      <c r="G73" s="181">
        <f>('Data Sheet'!I66+'Data Sheet'!H66)/2</f>
        <v>120662.5</v>
      </c>
      <c r="H73" s="181">
        <f>('Data Sheet'!J66+'Data Sheet'!I66)/2</f>
        <v>130978</v>
      </c>
      <c r="I73" s="181">
        <f>('Data Sheet'!K66+'Data Sheet'!J66)/2</f>
        <v>142577.5</v>
      </c>
    </row>
    <row r="74" spans="2:9" x14ac:dyDescent="0.3">
      <c r="B74" s="179" t="s">
        <v>301</v>
      </c>
      <c r="C74" s="182">
        <f>C72/C73</f>
        <v>1.0118410182663771</v>
      </c>
      <c r="D74" s="182">
        <f t="shared" ref="D74" si="10">D72/D73</f>
        <v>1.0325020185823297</v>
      </c>
      <c r="E74" s="182">
        <f t="shared" ref="E74" si="11">E72/E73</f>
        <v>1.0081932256624071</v>
      </c>
      <c r="F74" s="182">
        <f t="shared" ref="F74" si="12">F72/F73</f>
        <v>1.0849179450588655</v>
      </c>
      <c r="G74" s="182">
        <f t="shared" ref="G74" si="13">G72/G73</f>
        <v>1.216343105770227</v>
      </c>
      <c r="H74" s="182">
        <f t="shared" ref="H74" si="14">H72/H73</f>
        <v>1.1732504695445036</v>
      </c>
      <c r="I74" s="182">
        <f>I72/I73</f>
        <v>1.1431677508723326</v>
      </c>
    </row>
    <row r="76" spans="2:9" x14ac:dyDescent="0.3">
      <c r="B76" t="str">
        <f t="shared" ref="B76:H76" si="15">B95</f>
        <v>Average Total Assets</v>
      </c>
      <c r="C76" s="181">
        <f t="shared" si="15"/>
        <v>81707.5</v>
      </c>
      <c r="D76" s="181">
        <f t="shared" si="15"/>
        <v>87933</v>
      </c>
      <c r="E76" s="181">
        <f t="shared" si="15"/>
        <v>99655.5</v>
      </c>
      <c r="F76" s="181">
        <f t="shared" si="15"/>
        <v>112120</v>
      </c>
      <c r="G76" s="181">
        <f t="shared" si="15"/>
        <v>120662.5</v>
      </c>
      <c r="H76" s="181">
        <f t="shared" si="15"/>
        <v>130978</v>
      </c>
      <c r="I76" s="181">
        <f>I95</f>
        <v>142577.5</v>
      </c>
    </row>
    <row r="77" spans="2:9" x14ac:dyDescent="0.3">
      <c r="B77" t="str">
        <f>B63</f>
        <v>Average shareholder Equity</v>
      </c>
      <c r="C77" s="181">
        <f>C63</f>
        <v>64935.5</v>
      </c>
      <c r="D77" s="181">
        <f t="shared" ref="D77:I77" si="16">D63</f>
        <v>65199</v>
      </c>
      <c r="E77" s="181">
        <f t="shared" si="16"/>
        <v>70900.5</v>
      </c>
      <c r="F77" s="181">
        <f t="shared" si="16"/>
        <v>75850.5</v>
      </c>
      <c r="G77" s="181">
        <f t="shared" si="16"/>
        <v>75378.5</v>
      </c>
      <c r="H77" s="181">
        <f t="shared" si="16"/>
        <v>81761.5</v>
      </c>
      <c r="I77" s="181">
        <f t="shared" si="16"/>
        <v>91967</v>
      </c>
    </row>
    <row r="78" spans="2:9" x14ac:dyDescent="0.3">
      <c r="B78" s="179" t="s">
        <v>302</v>
      </c>
      <c r="C78" s="183">
        <f>C76/C77</f>
        <v>1.2582870694766346</v>
      </c>
      <c r="D78" s="183">
        <f t="shared" ref="D78" si="17">D76/D77</f>
        <v>1.3486863295449316</v>
      </c>
      <c r="E78" s="183">
        <f t="shared" ref="E78" si="18">E76/E77</f>
        <v>1.4055683669367636</v>
      </c>
      <c r="F78" s="183">
        <f t="shared" ref="F78" si="19">F76/F77</f>
        <v>1.4781708756039842</v>
      </c>
      <c r="G78" s="183">
        <f t="shared" ref="G78" si="20">G76/G77</f>
        <v>1.6007548571542283</v>
      </c>
      <c r="H78" s="183">
        <f t="shared" ref="H78" si="21">H76/H77</f>
        <v>1.6019520189820393</v>
      </c>
      <c r="I78" s="183">
        <f>I76/I77</f>
        <v>1.5503115247860646</v>
      </c>
    </row>
    <row r="80" spans="2:9" x14ac:dyDescent="0.3">
      <c r="B80" s="179" t="s">
        <v>303</v>
      </c>
      <c r="C80" s="180">
        <f t="shared" ref="C80:I80" si="22">C78*C96*C92</f>
        <v>0.23722001062592882</v>
      </c>
      <c r="D80" s="180">
        <f t="shared" si="22"/>
        <v>0.25451310602923355</v>
      </c>
      <c r="E80" s="180">
        <f t="shared" si="22"/>
        <v>0.27293178468417012</v>
      </c>
      <c r="F80" s="180">
        <f t="shared" si="22"/>
        <v>0.29149445290406789</v>
      </c>
      <c r="G80" s="180">
        <f t="shared" si="22"/>
        <v>0.31965348209370048</v>
      </c>
      <c r="H80" s="180">
        <f t="shared" si="22"/>
        <v>0.3208478318034772</v>
      </c>
      <c r="I80" s="180">
        <f t="shared" si="22"/>
        <v>0.29046288342557658</v>
      </c>
    </row>
    <row r="82" spans="2:9" ht="15.6" x14ac:dyDescent="0.3">
      <c r="B82" s="207" t="s">
        <v>304</v>
      </c>
      <c r="C82" s="207"/>
      <c r="D82" s="207"/>
      <c r="E82" s="207"/>
      <c r="F82" s="207"/>
      <c r="G82" s="207"/>
      <c r="H82" s="207"/>
      <c r="I82" s="207"/>
    </row>
    <row r="83" spans="2:9" x14ac:dyDescent="0.3">
      <c r="C83" s="178">
        <f t="shared" ref="C83:H83" si="23">C61</f>
        <v>43555</v>
      </c>
      <c r="D83" s="178">
        <f t="shared" si="23"/>
        <v>43921</v>
      </c>
      <c r="E83" s="178">
        <f t="shared" si="23"/>
        <v>44286</v>
      </c>
      <c r="F83" s="178">
        <f t="shared" si="23"/>
        <v>44651</v>
      </c>
      <c r="G83" s="178">
        <f t="shared" si="23"/>
        <v>45016</v>
      </c>
      <c r="H83" s="178">
        <f t="shared" si="23"/>
        <v>45382</v>
      </c>
      <c r="I83" s="178">
        <f>I61</f>
        <v>45747</v>
      </c>
    </row>
    <row r="84" spans="2:9" x14ac:dyDescent="0.3">
      <c r="B84" t="s">
        <v>72</v>
      </c>
      <c r="C84" s="181">
        <f t="shared" ref="C84:H84" si="24">C62</f>
        <v>15404</v>
      </c>
      <c r="D84" s="181">
        <f t="shared" si="24"/>
        <v>16594</v>
      </c>
      <c r="E84" s="181">
        <f t="shared" si="24"/>
        <v>19351</v>
      </c>
      <c r="F84" s="181">
        <f t="shared" si="24"/>
        <v>22110</v>
      </c>
      <c r="G84" s="181">
        <f t="shared" si="24"/>
        <v>24095</v>
      </c>
      <c r="H84" s="181">
        <f t="shared" si="24"/>
        <v>26233</v>
      </c>
      <c r="I84" s="181">
        <f>I62</f>
        <v>26713</v>
      </c>
    </row>
    <row r="85" spans="2:9" x14ac:dyDescent="0.3">
      <c r="B85" t="str">
        <f>B95</f>
        <v>Average Total Assets</v>
      </c>
      <c r="C85" s="181">
        <f>('Data Sheet'!E66+'Data Sheet'!D66)/2</f>
        <v>81707.5</v>
      </c>
      <c r="D85" s="181">
        <f>('Data Sheet'!F66+'Data Sheet'!E66)/2</f>
        <v>87933</v>
      </c>
      <c r="E85" s="181">
        <f>('Data Sheet'!G66+'Data Sheet'!F66)/2</f>
        <v>99655.5</v>
      </c>
      <c r="F85" s="181">
        <f>('Data Sheet'!H66+'Data Sheet'!G66)/2</f>
        <v>112120</v>
      </c>
      <c r="G85" s="181">
        <f>('Data Sheet'!I66+'Data Sheet'!H66)/2</f>
        <v>120662.5</v>
      </c>
      <c r="H85" s="181">
        <f>('Data Sheet'!J66+'Data Sheet'!I66)/2</f>
        <v>130978</v>
      </c>
      <c r="I85" s="181">
        <f>('Data Sheet'!K66+'Data Sheet'!J66)/2</f>
        <v>142577.5</v>
      </c>
    </row>
    <row r="86" spans="2:9" x14ac:dyDescent="0.3">
      <c r="B86" s="179" t="s">
        <v>304</v>
      </c>
      <c r="C86" s="180">
        <f>C84/C85</f>
        <v>0.18852614509071994</v>
      </c>
      <c r="D86" s="180">
        <f t="shared" ref="D86" si="25">D84/D85</f>
        <v>0.18871186016626296</v>
      </c>
      <c r="E86" s="180">
        <f t="shared" ref="E86" si="26">E84/E85</f>
        <v>0.1941789464705912</v>
      </c>
      <c r="F86" s="180">
        <f t="shared" ref="F86" si="27">F84/F85</f>
        <v>0.19719942918301819</v>
      </c>
      <c r="G86" s="180">
        <f t="shared" ref="G86" si="28">G84/G85</f>
        <v>0.19968921578783796</v>
      </c>
      <c r="H86" s="180">
        <f t="shared" ref="H86" si="29">H84/H85</f>
        <v>0.20028554413718333</v>
      </c>
      <c r="I86" s="180">
        <f t="shared" ref="I86" si="30">I84/I85</f>
        <v>0.18735775280110817</v>
      </c>
    </row>
    <row r="88" spans="2:9" ht="15.6" x14ac:dyDescent="0.3">
      <c r="B88" s="207" t="s">
        <v>305</v>
      </c>
      <c r="C88" s="207"/>
      <c r="D88" s="207"/>
      <c r="E88" s="207"/>
      <c r="F88" s="207"/>
      <c r="G88" s="207"/>
      <c r="H88" s="207"/>
      <c r="I88" s="207"/>
    </row>
    <row r="89" spans="2:9" x14ac:dyDescent="0.3">
      <c r="C89" s="178">
        <f t="shared" ref="C89:I89" si="31">C61</f>
        <v>43555</v>
      </c>
      <c r="D89" s="178">
        <f t="shared" si="31"/>
        <v>43921</v>
      </c>
      <c r="E89" s="178">
        <f t="shared" si="31"/>
        <v>44286</v>
      </c>
      <c r="F89" s="178">
        <f t="shared" si="31"/>
        <v>44651</v>
      </c>
      <c r="G89" s="178">
        <f t="shared" si="31"/>
        <v>45016</v>
      </c>
      <c r="H89" s="178">
        <f t="shared" si="31"/>
        <v>45382</v>
      </c>
      <c r="I89" s="178">
        <f t="shared" si="31"/>
        <v>45747</v>
      </c>
    </row>
    <row r="90" spans="2:9" x14ac:dyDescent="0.3">
      <c r="B90" t="s">
        <v>72</v>
      </c>
      <c r="C90" s="181">
        <f t="shared" ref="C90:H90" si="32">C62</f>
        <v>15404</v>
      </c>
      <c r="D90" s="181">
        <f t="shared" si="32"/>
        <v>16594</v>
      </c>
      <c r="E90" s="181">
        <f t="shared" si="32"/>
        <v>19351</v>
      </c>
      <c r="F90" s="181">
        <f t="shared" si="32"/>
        <v>22110</v>
      </c>
      <c r="G90" s="181">
        <f t="shared" si="32"/>
        <v>24095</v>
      </c>
      <c r="H90" s="181">
        <f t="shared" si="32"/>
        <v>26233</v>
      </c>
      <c r="I90" s="181">
        <f>I62</f>
        <v>26713</v>
      </c>
    </row>
    <row r="91" spans="2:9" x14ac:dyDescent="0.3">
      <c r="B91" t="s">
        <v>299</v>
      </c>
      <c r="C91" s="181">
        <f t="shared" ref="C91:H91" si="33">C72</f>
        <v>82675</v>
      </c>
      <c r="D91" s="181">
        <f t="shared" si="33"/>
        <v>90791</v>
      </c>
      <c r="E91" s="181">
        <f t="shared" si="33"/>
        <v>100472</v>
      </c>
      <c r="F91" s="181">
        <f t="shared" si="33"/>
        <v>121641</v>
      </c>
      <c r="G91" s="181">
        <f t="shared" si="33"/>
        <v>146767</v>
      </c>
      <c r="H91" s="181">
        <f t="shared" si="33"/>
        <v>153670</v>
      </c>
      <c r="I91" s="181">
        <f>I72</f>
        <v>162990</v>
      </c>
    </row>
    <row r="92" spans="2:9" x14ac:dyDescent="0.3">
      <c r="B92" s="179" t="s">
        <v>298</v>
      </c>
      <c r="C92" s="180">
        <f t="shared" ref="C92:H92" si="34">C90/C91</f>
        <v>0.1863199274266707</v>
      </c>
      <c r="D92" s="180">
        <f t="shared" si="34"/>
        <v>0.182771420074677</v>
      </c>
      <c r="E92" s="180">
        <f t="shared" si="34"/>
        <v>0.19260092364041723</v>
      </c>
      <c r="F92" s="180">
        <f t="shared" si="34"/>
        <v>0.18176437221002786</v>
      </c>
      <c r="G92" s="180">
        <f t="shared" si="34"/>
        <v>0.16417178248516356</v>
      </c>
      <c r="H92" s="180">
        <f t="shared" si="34"/>
        <v>0.17070996290752913</v>
      </c>
      <c r="I92" s="180">
        <f>I90/I91</f>
        <v>0.16389349039818393</v>
      </c>
    </row>
    <row r="94" spans="2:9" x14ac:dyDescent="0.3">
      <c r="B94" t="s">
        <v>299</v>
      </c>
      <c r="C94" s="181">
        <f t="shared" ref="C94:H94" si="35">C91</f>
        <v>82675</v>
      </c>
      <c r="D94" s="181">
        <f t="shared" si="35"/>
        <v>90791</v>
      </c>
      <c r="E94" s="181">
        <f t="shared" si="35"/>
        <v>100472</v>
      </c>
      <c r="F94" s="181">
        <f t="shared" si="35"/>
        <v>121641</v>
      </c>
      <c r="G94" s="181">
        <f t="shared" si="35"/>
        <v>146767</v>
      </c>
      <c r="H94" s="181">
        <f t="shared" si="35"/>
        <v>153670</v>
      </c>
      <c r="I94" s="181">
        <f>I91</f>
        <v>162990</v>
      </c>
    </row>
    <row r="95" spans="2:9" x14ac:dyDescent="0.3">
      <c r="B95" t="s">
        <v>300</v>
      </c>
      <c r="C95" s="181">
        <f t="shared" ref="C95:H95" si="36">C85</f>
        <v>81707.5</v>
      </c>
      <c r="D95" s="181">
        <f t="shared" si="36"/>
        <v>87933</v>
      </c>
      <c r="E95" s="181">
        <f t="shared" si="36"/>
        <v>99655.5</v>
      </c>
      <c r="F95" s="181">
        <f t="shared" si="36"/>
        <v>112120</v>
      </c>
      <c r="G95" s="181">
        <f t="shared" si="36"/>
        <v>120662.5</v>
      </c>
      <c r="H95" s="181">
        <f t="shared" si="36"/>
        <v>130978</v>
      </c>
      <c r="I95" s="181">
        <f>I85</f>
        <v>142577.5</v>
      </c>
    </row>
    <row r="96" spans="2:9" x14ac:dyDescent="0.3">
      <c r="B96" s="179" t="s">
        <v>301</v>
      </c>
      <c r="C96" s="182">
        <f>C94/C95</f>
        <v>1.0118410182663771</v>
      </c>
      <c r="D96" s="182">
        <f t="shared" ref="D96" si="37">D94/D95</f>
        <v>1.0325020185823297</v>
      </c>
      <c r="E96" s="182">
        <f t="shared" ref="E96" si="38">E94/E95</f>
        <v>1.0081932256624071</v>
      </c>
      <c r="F96" s="182">
        <f t="shared" ref="F96" si="39">F94/F95</f>
        <v>1.0849179450588655</v>
      </c>
      <c r="G96" s="182">
        <f t="shared" ref="G96" si="40">G94/G95</f>
        <v>1.216343105770227</v>
      </c>
      <c r="H96" s="182">
        <f t="shared" ref="H96" si="41">H94/H95</f>
        <v>1.1732504695445036</v>
      </c>
      <c r="I96" s="182">
        <f>I94/I95</f>
        <v>1.1431677508723326</v>
      </c>
    </row>
    <row r="98" spans="2:9" x14ac:dyDescent="0.3">
      <c r="B98" s="179" t="s">
        <v>306</v>
      </c>
      <c r="C98" s="180">
        <f t="shared" ref="C98:H98" si="42">C92*C96</f>
        <v>0.18852614509071997</v>
      </c>
      <c r="D98" s="180">
        <f t="shared" si="42"/>
        <v>0.18871186016626296</v>
      </c>
      <c r="E98" s="180">
        <f t="shared" si="42"/>
        <v>0.1941789464705912</v>
      </c>
      <c r="F98" s="180">
        <f t="shared" si="42"/>
        <v>0.19719942918301819</v>
      </c>
      <c r="G98" s="180">
        <f t="shared" si="42"/>
        <v>0.19968921578783799</v>
      </c>
      <c r="H98" s="180">
        <f t="shared" si="42"/>
        <v>0.20028554413718336</v>
      </c>
      <c r="I98" s="180">
        <f>I92*I96</f>
        <v>0.18735775280110817</v>
      </c>
    </row>
    <row r="100" spans="2:9" x14ac:dyDescent="0.3">
      <c r="C100" t="s">
        <v>87</v>
      </c>
    </row>
    <row r="112" spans="2:9" ht="3" customHeight="1" x14ac:dyDescent="0.3"/>
    <row r="113" spans="2:9" x14ac:dyDescent="0.3">
      <c r="B113" s="184"/>
      <c r="C113" s="184"/>
      <c r="D113" s="184"/>
      <c r="E113" s="184"/>
      <c r="F113" s="184"/>
      <c r="G113" s="184"/>
      <c r="H113" s="184"/>
      <c r="I113" s="184"/>
    </row>
  </sheetData>
  <mergeCells count="5">
    <mergeCell ref="B60:I60"/>
    <mergeCell ref="B66:I66"/>
    <mergeCell ref="B82:I82"/>
    <mergeCell ref="B88:I88"/>
    <mergeCell ref="B56:I56"/>
  </mergeCells>
  <pageMargins left="0.7" right="0.7" top="0.75" bottom="0.75" header="0.3" footer="0.3"/>
  <pageSetup orientation="landscape"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A7B11F-94B8-417B-8FB7-44684C3E4BE3}">
  <dimension ref="B1:I89"/>
  <sheetViews>
    <sheetView showGridLines="0" workbookViewId="0">
      <selection activeCell="L23" sqref="L23"/>
    </sheetView>
  </sheetViews>
  <sheetFormatPr defaultRowHeight="14.4" x14ac:dyDescent="0.3"/>
  <cols>
    <col min="2" max="2" width="35.44140625" bestFit="1" customWidth="1"/>
    <col min="3" max="9" width="10.77734375" customWidth="1"/>
  </cols>
  <sheetData>
    <row r="1" spans="2:9" x14ac:dyDescent="0.3">
      <c r="B1" s="184"/>
      <c r="C1" s="184"/>
      <c r="D1" s="184"/>
      <c r="E1" s="184"/>
      <c r="F1" s="184"/>
      <c r="G1" s="184"/>
      <c r="H1" s="184"/>
      <c r="I1" s="184"/>
    </row>
    <row r="2" spans="2:9" x14ac:dyDescent="0.3">
      <c r="B2" s="7"/>
      <c r="C2" s="7"/>
      <c r="D2" s="7"/>
      <c r="E2" s="7"/>
      <c r="F2" s="7"/>
      <c r="G2" s="7"/>
      <c r="H2" s="7"/>
      <c r="I2" s="7"/>
    </row>
    <row r="3" spans="2:9" ht="28.8" x14ac:dyDescent="0.55000000000000004">
      <c r="B3" s="196" t="s">
        <v>329</v>
      </c>
    </row>
    <row r="4" spans="2:9" x14ac:dyDescent="0.3">
      <c r="B4" t="s">
        <v>309</v>
      </c>
    </row>
    <row r="5" spans="2:9" ht="18" x14ac:dyDescent="0.35">
      <c r="B5" s="197">
        <v>1262.4000000000001</v>
      </c>
    </row>
    <row r="6" spans="2:9" x14ac:dyDescent="0.3">
      <c r="B6" t="s">
        <v>293</v>
      </c>
    </row>
    <row r="7" spans="2:9" ht="15" thickBot="1" x14ac:dyDescent="0.35">
      <c r="B7" s="177"/>
      <c r="C7" s="177"/>
      <c r="D7" s="177"/>
      <c r="E7" s="177"/>
      <c r="F7" s="177"/>
      <c r="G7" s="177"/>
      <c r="I7" s="177"/>
    </row>
    <row r="8" spans="2:9" ht="23.4" x14ac:dyDescent="0.45">
      <c r="B8" s="208" t="s">
        <v>310</v>
      </c>
      <c r="C8" s="209"/>
      <c r="D8" s="209"/>
      <c r="E8" s="209"/>
      <c r="F8" s="209"/>
      <c r="G8" s="209"/>
      <c r="H8" s="209"/>
      <c r="I8" s="209"/>
    </row>
    <row r="9" spans="2:9" x14ac:dyDescent="0.3">
      <c r="B9" s="210" t="s">
        <v>331</v>
      </c>
      <c r="C9" s="210"/>
      <c r="D9" s="210"/>
      <c r="E9" s="210"/>
      <c r="F9" s="210"/>
      <c r="G9" s="210"/>
      <c r="H9" s="210"/>
      <c r="I9" s="210"/>
    </row>
    <row r="10" spans="2:9" x14ac:dyDescent="0.3">
      <c r="B10" s="210"/>
      <c r="C10" s="210"/>
      <c r="D10" s="210"/>
      <c r="E10" s="210"/>
      <c r="F10" s="210"/>
      <c r="G10" s="210"/>
      <c r="H10" s="210"/>
      <c r="I10" s="210"/>
    </row>
    <row r="11" spans="2:9" x14ac:dyDescent="0.3">
      <c r="B11" s="210"/>
      <c r="C11" s="210"/>
      <c r="D11" s="210"/>
      <c r="E11" s="210"/>
      <c r="F11" s="210"/>
      <c r="G11" s="210"/>
      <c r="H11" s="210"/>
      <c r="I11" s="210"/>
    </row>
    <row r="12" spans="2:9" x14ac:dyDescent="0.3">
      <c r="B12" s="210"/>
      <c r="C12" s="210"/>
      <c r="D12" s="210"/>
      <c r="E12" s="210"/>
      <c r="F12" s="210"/>
      <c r="G12" s="210"/>
      <c r="H12" s="210"/>
      <c r="I12" s="210"/>
    </row>
    <row r="13" spans="2:9" ht="18" x14ac:dyDescent="0.35">
      <c r="B13" s="198" t="s">
        <v>307</v>
      </c>
      <c r="C13" s="176"/>
      <c r="D13" s="176"/>
      <c r="E13" s="176"/>
      <c r="F13" s="176"/>
      <c r="G13" s="176"/>
      <c r="H13" s="176"/>
      <c r="I13" s="176"/>
    </row>
    <row r="14" spans="2:9" x14ac:dyDescent="0.3">
      <c r="B14" s="176"/>
      <c r="C14" s="176"/>
      <c r="D14" s="176"/>
      <c r="E14" s="176"/>
      <c r="F14" s="176"/>
      <c r="G14" s="176"/>
      <c r="H14" s="176"/>
      <c r="I14" s="176"/>
    </row>
    <row r="15" spans="2:9" x14ac:dyDescent="0.3">
      <c r="B15" s="176"/>
      <c r="C15" s="176"/>
      <c r="D15" s="176"/>
      <c r="E15" s="176"/>
      <c r="F15" s="176"/>
      <c r="G15" s="176"/>
      <c r="H15" s="176"/>
      <c r="I15" s="176"/>
    </row>
    <row r="50" spans="2:9" ht="3" customHeight="1" x14ac:dyDescent="0.3"/>
    <row r="51" spans="2:9" x14ac:dyDescent="0.3">
      <c r="B51" s="184"/>
      <c r="C51" s="184"/>
      <c r="D51" s="184"/>
      <c r="E51" s="184"/>
      <c r="F51" s="184"/>
      <c r="G51" s="184"/>
      <c r="H51" s="184"/>
      <c r="I51" s="184"/>
    </row>
    <row r="52" spans="2:9" ht="23.4" x14ac:dyDescent="0.3">
      <c r="B52" s="199" t="s">
        <v>330</v>
      </c>
    </row>
    <row r="53" spans="2:9" ht="3.6" customHeight="1" x14ac:dyDescent="0.3"/>
    <row r="54" spans="2:9" ht="15.6" x14ac:dyDescent="0.3">
      <c r="B54" s="207" t="s">
        <v>311</v>
      </c>
      <c r="C54" s="207"/>
      <c r="D54" s="207"/>
      <c r="E54" s="207"/>
      <c r="F54" s="207"/>
      <c r="G54" s="207"/>
      <c r="H54" s="207"/>
      <c r="I54" s="207"/>
    </row>
    <row r="55" spans="2:9" x14ac:dyDescent="0.3">
      <c r="C55" s="192">
        <f>'Data Sheet'!E56</f>
        <v>43555</v>
      </c>
      <c r="D55" s="192">
        <f>'Data Sheet'!F56</f>
        <v>43921</v>
      </c>
      <c r="E55" s="192">
        <f>'Data Sheet'!G56</f>
        <v>44286</v>
      </c>
      <c r="F55" s="192">
        <f>'Data Sheet'!H56</f>
        <v>44651</v>
      </c>
      <c r="G55" s="192">
        <f>'Data Sheet'!I56</f>
        <v>45016</v>
      </c>
      <c r="H55" s="192">
        <f>'Data Sheet'!J56</f>
        <v>45382</v>
      </c>
      <c r="I55" s="192">
        <f>'Data Sheet'!K56</f>
        <v>45747</v>
      </c>
    </row>
    <row r="56" spans="2:9" x14ac:dyDescent="0.3">
      <c r="B56" t="s">
        <v>319</v>
      </c>
      <c r="C56" s="181">
        <f>'Data Sheet'!E65-'Data Sheet'!E60</f>
        <v>36589</v>
      </c>
      <c r="D56" s="181">
        <f>'Data Sheet'!F65-'Data Sheet'!F60</f>
        <v>36548</v>
      </c>
      <c r="E56" s="181">
        <f>'Data Sheet'!G65-'Data Sheet'!G60</f>
        <v>41044</v>
      </c>
      <c r="F56" s="181">
        <f>'Data Sheet'!H65-'Data Sheet'!H60</f>
        <v>34284</v>
      </c>
      <c r="G56" s="181">
        <f>'Data Sheet'!I65-'Data Sheet'!I60</f>
        <v>34715</v>
      </c>
      <c r="H56" s="181">
        <f>'Data Sheet'!J65-'Data Sheet'!J60</f>
        <v>43937</v>
      </c>
      <c r="I56" s="181">
        <f>'Data Sheet'!K65-'Data Sheet'!K60</f>
        <v>48729</v>
      </c>
    </row>
    <row r="57" spans="2:9" x14ac:dyDescent="0.3">
      <c r="B57" t="s">
        <v>85</v>
      </c>
      <c r="C57" s="181">
        <f>'Data Sheet'!E66</f>
        <v>84066</v>
      </c>
      <c r="D57" s="181">
        <f>'Data Sheet'!F66</f>
        <v>91800</v>
      </c>
      <c r="E57" s="181">
        <f>'Data Sheet'!G66</f>
        <v>107511</v>
      </c>
      <c r="F57" s="181">
        <f>'Data Sheet'!H66</f>
        <v>116729</v>
      </c>
      <c r="G57" s="181">
        <f>'Data Sheet'!I66</f>
        <v>124596</v>
      </c>
      <c r="H57" s="181">
        <f>'Data Sheet'!J66</f>
        <v>137360</v>
      </c>
      <c r="I57" s="181">
        <f>'Data Sheet'!K66</f>
        <v>147795</v>
      </c>
    </row>
    <row r="58" spans="2:9" x14ac:dyDescent="0.3">
      <c r="B58" s="193" t="s">
        <v>320</v>
      </c>
      <c r="C58" s="194">
        <f>C56/C57</f>
        <v>0.43524135798063424</v>
      </c>
      <c r="D58" s="194">
        <f t="shared" ref="D58:I58" si="0">D56/D57</f>
        <v>0.39812636165577342</v>
      </c>
      <c r="E58" s="194">
        <f t="shared" si="0"/>
        <v>0.38176558677716699</v>
      </c>
      <c r="F58" s="194">
        <f t="shared" si="0"/>
        <v>0.29370593425798214</v>
      </c>
      <c r="G58" s="194">
        <f t="shared" si="0"/>
        <v>0.27862050146072104</v>
      </c>
      <c r="H58" s="194">
        <f t="shared" si="0"/>
        <v>0.31986750145602794</v>
      </c>
      <c r="I58" s="194">
        <f t="shared" si="0"/>
        <v>0.32970668831827871</v>
      </c>
    </row>
    <row r="60" spans="2:9" ht="15.6" x14ac:dyDescent="0.3">
      <c r="B60" s="207" t="s">
        <v>321</v>
      </c>
      <c r="C60" s="207"/>
      <c r="D60" s="207"/>
      <c r="E60" s="207"/>
      <c r="F60" s="207"/>
      <c r="G60" s="207"/>
      <c r="H60" s="207"/>
      <c r="I60" s="207"/>
    </row>
    <row r="61" spans="2:9" x14ac:dyDescent="0.3">
      <c r="C61" s="192">
        <f>C55</f>
        <v>43555</v>
      </c>
      <c r="D61" s="192">
        <f t="shared" ref="D61:I61" si="1">D55</f>
        <v>43921</v>
      </c>
      <c r="E61" s="192">
        <f t="shared" si="1"/>
        <v>44286</v>
      </c>
      <c r="F61" s="192">
        <f t="shared" si="1"/>
        <v>44651</v>
      </c>
      <c r="G61" s="192">
        <f t="shared" si="1"/>
        <v>45016</v>
      </c>
      <c r="H61" s="192">
        <f t="shared" si="1"/>
        <v>45382</v>
      </c>
      <c r="I61" s="192">
        <f t="shared" si="1"/>
        <v>45747</v>
      </c>
    </row>
    <row r="62" spans="2:9" x14ac:dyDescent="0.3">
      <c r="B62" t="s">
        <v>312</v>
      </c>
      <c r="C62" s="181">
        <f>'Historical FS'!F36*'Historical FS'!F38*'Historical FS'!F44</f>
        <v>3305.4999999999995</v>
      </c>
      <c r="D62" s="181">
        <f>'Historical FS'!G36*'Historical FS'!G38*'Historical FS'!G44</f>
        <v>6408.9999999999991</v>
      </c>
      <c r="E62" s="181">
        <f>'Historical FS'!H36*'Historical FS'!H38*'Historical FS'!H44</f>
        <v>5752.4</v>
      </c>
      <c r="F62" s="181">
        <f>'Historical FS'!I36*'Historical FS'!I38*'Historical FS'!I44</f>
        <v>6843.3999999999987</v>
      </c>
      <c r="G62" s="181">
        <f>'Historical FS'!J36*'Historical FS'!J38*'Historical FS'!J44</f>
        <v>7337.7999999999993</v>
      </c>
      <c r="H62" s="181">
        <f>'Historical FS'!K36*'Historical FS'!K38*'Historical FS'!K44</f>
        <v>2483.7999999999984</v>
      </c>
      <c r="I62" s="181">
        <f>'Historical FS'!L36*'Historical FS'!L38*'Historical FS'!L44</f>
        <v>5322.2000000000016</v>
      </c>
    </row>
    <row r="63" spans="2:9" x14ac:dyDescent="0.3">
      <c r="B63" t="s">
        <v>85</v>
      </c>
      <c r="C63" s="181">
        <f>C57</f>
        <v>84066</v>
      </c>
      <c r="D63" s="181">
        <f t="shared" ref="D63:I63" si="2">D57</f>
        <v>91800</v>
      </c>
      <c r="E63" s="181">
        <f t="shared" si="2"/>
        <v>107511</v>
      </c>
      <c r="F63" s="181">
        <f t="shared" si="2"/>
        <v>116729</v>
      </c>
      <c r="G63" s="181">
        <f t="shared" si="2"/>
        <v>124596</v>
      </c>
      <c r="H63" s="181">
        <f t="shared" si="2"/>
        <v>137360</v>
      </c>
      <c r="I63" s="181">
        <f t="shared" si="2"/>
        <v>147795</v>
      </c>
    </row>
    <row r="64" spans="2:9" x14ac:dyDescent="0.3">
      <c r="B64" s="193" t="s">
        <v>322</v>
      </c>
      <c r="C64" s="194">
        <f t="shared" ref="C64:H64" si="3">C62/C63</f>
        <v>3.9320295957937804E-2</v>
      </c>
      <c r="D64" s="194">
        <f t="shared" si="3"/>
        <v>6.9814814814814802E-2</v>
      </c>
      <c r="E64" s="194">
        <f t="shared" si="3"/>
        <v>5.3505222721395948E-2</v>
      </c>
      <c r="F64" s="194">
        <f t="shared" si="3"/>
        <v>5.8626391042500142E-2</v>
      </c>
      <c r="G64" s="194">
        <f t="shared" si="3"/>
        <v>5.8892741340010907E-2</v>
      </c>
      <c r="H64" s="194">
        <f t="shared" si="3"/>
        <v>1.8082411182294689E-2</v>
      </c>
      <c r="I64" s="194">
        <f>I62/I63</f>
        <v>3.6010690483439911E-2</v>
      </c>
    </row>
    <row r="66" spans="2:9" ht="15.6" x14ac:dyDescent="0.3">
      <c r="B66" s="207" t="s">
        <v>313</v>
      </c>
      <c r="C66" s="207"/>
      <c r="D66" s="207"/>
      <c r="E66" s="207"/>
      <c r="F66" s="207"/>
      <c r="G66" s="207"/>
      <c r="H66" s="207"/>
      <c r="I66" s="207"/>
    </row>
    <row r="67" spans="2:9" x14ac:dyDescent="0.3">
      <c r="B67" t="s">
        <v>237</v>
      </c>
      <c r="C67" s="181">
        <f>'Historical FS'!F27+'Historical FS'!F21</f>
        <v>18159</v>
      </c>
      <c r="D67" s="181">
        <f>'Historical FS'!G27+'Historical FS'!G21</f>
        <v>19374</v>
      </c>
      <c r="E67" s="181">
        <f>'Historical FS'!H27+'Historical FS'!H21</f>
        <v>24622</v>
      </c>
      <c r="F67" s="181">
        <f>'Historical FS'!I27+'Historical FS'!I21</f>
        <v>28015</v>
      </c>
      <c r="G67" s="181">
        <f>'Historical FS'!J27+'Historical FS'!J21</f>
        <v>30905</v>
      </c>
      <c r="H67" s="181">
        <f>'Historical FS'!K27+'Historical FS'!K21</f>
        <v>31747</v>
      </c>
      <c r="I67" s="181">
        <f>'Historical FS'!L27+'Historical FS'!L21</f>
        <v>34424</v>
      </c>
    </row>
    <row r="68" spans="2:9" x14ac:dyDescent="0.3">
      <c r="B68" t="s">
        <v>85</v>
      </c>
      <c r="C68" s="181">
        <f>C63</f>
        <v>84066</v>
      </c>
      <c r="D68" s="181">
        <f t="shared" ref="D68:I68" si="4">D63</f>
        <v>91800</v>
      </c>
      <c r="E68" s="181">
        <f t="shared" si="4"/>
        <v>107511</v>
      </c>
      <c r="F68" s="181">
        <f t="shared" si="4"/>
        <v>116729</v>
      </c>
      <c r="G68" s="181">
        <f t="shared" si="4"/>
        <v>124596</v>
      </c>
      <c r="H68" s="181">
        <f t="shared" si="4"/>
        <v>137360</v>
      </c>
      <c r="I68" s="181">
        <f t="shared" si="4"/>
        <v>147795</v>
      </c>
    </row>
    <row r="69" spans="2:9" x14ac:dyDescent="0.3">
      <c r="B69" s="193" t="s">
        <v>323</v>
      </c>
      <c r="C69" s="194">
        <f t="shared" ref="C69:H69" si="5">C67/C68</f>
        <v>0.2160088501891371</v>
      </c>
      <c r="D69" s="194">
        <f t="shared" si="5"/>
        <v>0.21104575163398692</v>
      </c>
      <c r="E69" s="194">
        <f t="shared" si="5"/>
        <v>0.22901842602152339</v>
      </c>
      <c r="F69" s="194">
        <f t="shared" si="5"/>
        <v>0.24000034267405701</v>
      </c>
      <c r="G69" s="194">
        <f t="shared" si="5"/>
        <v>0.24804167067963659</v>
      </c>
      <c r="H69" s="194">
        <f t="shared" si="5"/>
        <v>0.23112259755387304</v>
      </c>
      <c r="I69" s="194">
        <f>I67/I68</f>
        <v>0.23291721641462837</v>
      </c>
    </row>
    <row r="71" spans="2:9" ht="15.6" x14ac:dyDescent="0.3">
      <c r="B71" s="207" t="s">
        <v>324</v>
      </c>
      <c r="C71" s="207"/>
      <c r="D71" s="207"/>
      <c r="E71" s="207"/>
      <c r="F71" s="207"/>
      <c r="G71" s="207"/>
      <c r="H71" s="207"/>
      <c r="I71" s="207"/>
    </row>
    <row r="72" spans="2:9" x14ac:dyDescent="0.3">
      <c r="B72" t="s">
        <v>314</v>
      </c>
      <c r="C72" s="181">
        <f>('Data Sheet'!E90*'Data Sheet'!E70)/10000000</f>
        <v>322529.97265587002</v>
      </c>
      <c r="D72" s="181">
        <f>('Data Sheet'!F90*'Data Sheet'!F70)/10000000</f>
        <v>272044.31842149998</v>
      </c>
      <c r="E72" s="181">
        <f>('Data Sheet'!G90*'Data Sheet'!G70)/10000000</f>
        <v>580757.21412577003</v>
      </c>
      <c r="F72" s="181">
        <f>('Data Sheet'!H90*'Data Sheet'!H70)/10000000</f>
        <v>799544.670366365</v>
      </c>
      <c r="G72" s="181">
        <f>('Data Sheet'!I90*'Data Sheet'!I70)/10000000</f>
        <v>590655.51375037502</v>
      </c>
      <c r="H72" s="181">
        <f>('Data Sheet'!J90*'Data Sheet'!J70)/10000000</f>
        <v>620185.30487617501</v>
      </c>
      <c r="I72" s="181">
        <f>('Data Sheet'!K90*'Data Sheet'!K70)/10000000</f>
        <v>650815.71638532006</v>
      </c>
    </row>
    <row r="73" spans="2:9" x14ac:dyDescent="0.3">
      <c r="B73" t="s">
        <v>325</v>
      </c>
      <c r="C73" s="181">
        <f>'Data Sheet'!E59</f>
        <v>0</v>
      </c>
      <c r="D73" s="181">
        <f>'Data Sheet'!F59</f>
        <v>4633</v>
      </c>
      <c r="E73" s="181">
        <f>'Data Sheet'!G59</f>
        <v>5325</v>
      </c>
      <c r="F73" s="181">
        <f>'Data Sheet'!H59</f>
        <v>5474</v>
      </c>
      <c r="G73" s="181">
        <f>'Data Sheet'!I59</f>
        <v>8299</v>
      </c>
      <c r="H73" s="181">
        <f>'Data Sheet'!J59</f>
        <v>8359</v>
      </c>
      <c r="I73" s="181">
        <f>'Data Sheet'!K59</f>
        <v>8227</v>
      </c>
    </row>
    <row r="74" spans="2:9" x14ac:dyDescent="0.3">
      <c r="B74" s="193" t="s">
        <v>326</v>
      </c>
      <c r="C74" s="194"/>
      <c r="D74" s="194">
        <f t="shared" ref="D74:H74" si="6">D72/D73</f>
        <v>58.71882547409885</v>
      </c>
      <c r="E74" s="194">
        <f t="shared" si="6"/>
        <v>109.06238762925258</v>
      </c>
      <c r="F74" s="194">
        <f t="shared" si="6"/>
        <v>146.06223426495524</v>
      </c>
      <c r="G74" s="194">
        <f t="shared" si="6"/>
        <v>71.171889836170024</v>
      </c>
      <c r="H74" s="194">
        <f t="shared" si="6"/>
        <v>74.193719927763496</v>
      </c>
      <c r="I74" s="194">
        <f>I72/I73</f>
        <v>79.107295051090318</v>
      </c>
    </row>
    <row r="76" spans="2:9" ht="15.6" x14ac:dyDescent="0.3">
      <c r="B76" s="207" t="s">
        <v>315</v>
      </c>
      <c r="C76" s="207"/>
      <c r="D76" s="207"/>
      <c r="E76" s="207"/>
      <c r="F76" s="207"/>
      <c r="G76" s="207"/>
      <c r="H76" s="207"/>
      <c r="I76" s="207"/>
    </row>
    <row r="77" spans="2:9" x14ac:dyDescent="0.3">
      <c r="C77" s="192">
        <f t="shared" ref="C77:I77" si="7">C61</f>
        <v>43555</v>
      </c>
      <c r="D77" s="192">
        <f t="shared" si="7"/>
        <v>43921</v>
      </c>
      <c r="E77" s="192">
        <f t="shared" si="7"/>
        <v>44286</v>
      </c>
      <c r="F77" s="192">
        <f t="shared" si="7"/>
        <v>44651</v>
      </c>
      <c r="G77" s="192">
        <f t="shared" si="7"/>
        <v>45016</v>
      </c>
      <c r="H77" s="192">
        <f t="shared" si="7"/>
        <v>45382</v>
      </c>
      <c r="I77" s="192">
        <f t="shared" si="7"/>
        <v>45747</v>
      </c>
    </row>
    <row r="78" spans="2:9" x14ac:dyDescent="0.3">
      <c r="B78" t="s">
        <v>327</v>
      </c>
      <c r="C78" s="181">
        <f>'Historical FS'!F6</f>
        <v>82675</v>
      </c>
      <c r="D78" s="181">
        <f>'Historical FS'!G6</f>
        <v>90791</v>
      </c>
      <c r="E78" s="181">
        <f>'Historical FS'!H6</f>
        <v>100472</v>
      </c>
      <c r="F78" s="181">
        <f>'Historical FS'!I6</f>
        <v>121641</v>
      </c>
      <c r="G78" s="181">
        <f>'Historical FS'!J6</f>
        <v>146767</v>
      </c>
      <c r="H78" s="181">
        <f>'Historical FS'!K6</f>
        <v>153670</v>
      </c>
      <c r="I78" s="181">
        <f>'Historical FS'!L6</f>
        <v>162990</v>
      </c>
    </row>
    <row r="79" spans="2:9" x14ac:dyDescent="0.3">
      <c r="B79" t="s">
        <v>85</v>
      </c>
      <c r="C79" s="181">
        <f>C63</f>
        <v>84066</v>
      </c>
      <c r="D79" s="181">
        <f t="shared" ref="D79:I79" si="8">D63</f>
        <v>91800</v>
      </c>
      <c r="E79" s="181">
        <f t="shared" si="8"/>
        <v>107511</v>
      </c>
      <c r="F79" s="181">
        <f t="shared" si="8"/>
        <v>116729</v>
      </c>
      <c r="G79" s="181">
        <f t="shared" si="8"/>
        <v>124596</v>
      </c>
      <c r="H79" s="181">
        <f t="shared" si="8"/>
        <v>137360</v>
      </c>
      <c r="I79" s="181">
        <f t="shared" si="8"/>
        <v>147795</v>
      </c>
    </row>
    <row r="80" spans="2:9" x14ac:dyDescent="0.3">
      <c r="B80" s="193" t="s">
        <v>328</v>
      </c>
      <c r="C80" s="194">
        <f>C78/C79</f>
        <v>0.98345347702995267</v>
      </c>
      <c r="D80" s="194">
        <f t="shared" ref="D80:I80" si="9">D78/D79</f>
        <v>0.98900871459694994</v>
      </c>
      <c r="E80" s="194">
        <f t="shared" si="9"/>
        <v>0.9345276297309113</v>
      </c>
      <c r="F80" s="194">
        <f t="shared" si="9"/>
        <v>1.0420803742000702</v>
      </c>
      <c r="G80" s="194">
        <f t="shared" si="9"/>
        <v>1.1779431121384314</v>
      </c>
      <c r="H80" s="194">
        <f t="shared" si="9"/>
        <v>1.118739079790332</v>
      </c>
      <c r="I80" s="194">
        <f t="shared" si="9"/>
        <v>1.1028113264995434</v>
      </c>
    </row>
    <row r="82" spans="2:9" ht="15.6" x14ac:dyDescent="0.3">
      <c r="B82" s="207" t="s">
        <v>316</v>
      </c>
      <c r="C82" s="207"/>
      <c r="D82" s="207"/>
      <c r="E82" s="207"/>
      <c r="F82" s="207"/>
      <c r="G82" s="207"/>
      <c r="H82" s="207"/>
      <c r="I82" s="207"/>
    </row>
    <row r="83" spans="2:9" x14ac:dyDescent="0.3">
      <c r="C83" s="192">
        <f>C77</f>
        <v>43555</v>
      </c>
      <c r="D83" s="192">
        <f t="shared" ref="D83:I83" si="10">D77</f>
        <v>43921</v>
      </c>
      <c r="E83" s="192">
        <f t="shared" si="10"/>
        <v>44286</v>
      </c>
      <c r="F83" s="192">
        <f t="shared" si="10"/>
        <v>44651</v>
      </c>
      <c r="G83" s="192">
        <f t="shared" si="10"/>
        <v>45016</v>
      </c>
      <c r="H83" s="192">
        <f t="shared" si="10"/>
        <v>45382</v>
      </c>
      <c r="I83" s="192">
        <f t="shared" si="10"/>
        <v>45747</v>
      </c>
    </row>
    <row r="84" spans="2:9" x14ac:dyDescent="0.3">
      <c r="B84" s="193" t="s">
        <v>317</v>
      </c>
      <c r="C84" s="195">
        <f>(C58*1.2)+(C64*1.4)+(C69*3.3)+(C74*0.6)*(C80*1)</f>
        <v>1.2901672495420264</v>
      </c>
      <c r="D84" s="195">
        <f t="shared" ref="D84:I84" si="11">(D58*1.2)+(D64*1.4)+(D69*3.3)+(D74*0.6)*(D80*1)</f>
        <v>36.116001417988507</v>
      </c>
      <c r="E84" s="195">
        <f t="shared" si="11"/>
        <v>62.441875584189148</v>
      </c>
      <c r="F84" s="195">
        <f t="shared" si="11"/>
        <v>92.551677842987175</v>
      </c>
      <c r="G84" s="195">
        <f t="shared" si="11"/>
        <v>51.537194399106703</v>
      </c>
      <c r="H84" s="195">
        <f t="shared" si="11"/>
        <v>50.973909324254876</v>
      </c>
      <c r="I84" s="195">
        <f t="shared" si="11"/>
        <v>53.558942401477232</v>
      </c>
    </row>
    <row r="85" spans="2:9" x14ac:dyDescent="0.3">
      <c r="B85" s="25" t="s">
        <v>318</v>
      </c>
      <c r="C85" s="200" t="str">
        <f>IF(C84&lt;1.81," Distressed",IF(C84&gt;3,"Strong","Grey Zone"))</f>
        <v xml:space="preserve"> Distressed</v>
      </c>
      <c r="D85" s="200" t="str">
        <f>IF(D84&lt;1.81," Distressed",IF(D84&gt;3,"Strong","Grey Zone"))</f>
        <v>Strong</v>
      </c>
      <c r="E85" s="200" t="str">
        <f t="shared" ref="E85:I85" si="12">IF(E84&lt;1.81," Distressed",IF(E84&gt;3,"Strong","Grey Zone"))</f>
        <v>Strong</v>
      </c>
      <c r="F85" s="200" t="str">
        <f t="shared" si="12"/>
        <v>Strong</v>
      </c>
      <c r="G85" s="200" t="str">
        <f t="shared" si="12"/>
        <v>Strong</v>
      </c>
      <c r="H85" s="200" t="str">
        <f t="shared" si="12"/>
        <v>Strong</v>
      </c>
      <c r="I85" s="200" t="str">
        <f t="shared" si="12"/>
        <v>Strong</v>
      </c>
    </row>
    <row r="89" spans="2:9" x14ac:dyDescent="0.3">
      <c r="B89" s="184"/>
      <c r="C89" s="184"/>
      <c r="D89" s="184"/>
      <c r="E89" s="184"/>
      <c r="F89" s="184"/>
      <c r="G89" s="184"/>
      <c r="H89" s="184"/>
      <c r="I89" s="184"/>
    </row>
  </sheetData>
  <mergeCells count="8">
    <mergeCell ref="B76:I76"/>
    <mergeCell ref="B82:I82"/>
    <mergeCell ref="B8:I8"/>
    <mergeCell ref="B9:I12"/>
    <mergeCell ref="B54:I54"/>
    <mergeCell ref="B60:I60"/>
    <mergeCell ref="B66:I66"/>
    <mergeCell ref="B71:I71"/>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93D0CC-2686-4F04-B1B6-3B6A4E55A35B}">
  <sheetPr>
    <tabColor rgb="FF002060"/>
  </sheetPr>
  <dimension ref="A1"/>
  <sheetViews>
    <sheetView showGridLines="0" workbookViewId="0"/>
  </sheetViews>
  <sheetFormatPr defaultRowHeight="14.4" x14ac:dyDescent="0.3"/>
  <cols>
    <col min="1" max="1" width="1.88671875" customWidth="1"/>
  </cols>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21A6A9-C28F-43BE-BD6A-CE99E7D3579C}">
  <dimension ref="A2:N100"/>
  <sheetViews>
    <sheetView showGridLines="0" zoomScale="80" zoomScaleNormal="80" workbookViewId="0">
      <pane ySplit="3" topLeftCell="A4" activePane="bottomLeft" state="frozen"/>
      <selection pane="bottomLeft" activeCell="B21" sqref="B21"/>
    </sheetView>
  </sheetViews>
  <sheetFormatPr defaultRowHeight="14.4" x14ac:dyDescent="0.3"/>
  <cols>
    <col min="1" max="1" width="1.88671875" customWidth="1"/>
    <col min="2" max="2" width="28.33203125" customWidth="1"/>
    <col min="3" max="13" width="13.77734375" customWidth="1"/>
  </cols>
  <sheetData>
    <row r="2" spans="1:13" x14ac:dyDescent="0.3">
      <c r="B2" s="214" t="str">
        <f>"Historical Financial Statement - "&amp;'[1]Data Sheet'!B1</f>
        <v>Historical Financial Statement - INFOSYS LTD</v>
      </c>
      <c r="C2" s="214"/>
      <c r="D2" s="214"/>
      <c r="E2" s="214"/>
      <c r="F2" s="214"/>
      <c r="G2" s="214"/>
      <c r="H2" s="214"/>
      <c r="I2" s="214"/>
      <c r="J2" s="214"/>
      <c r="K2" s="214"/>
      <c r="L2" s="214"/>
      <c r="M2" s="214"/>
    </row>
    <row r="3" spans="1:13" x14ac:dyDescent="0.3">
      <c r="B3" s="27" t="s">
        <v>54</v>
      </c>
      <c r="C3" s="28">
        <f>'[1]Data Sheet'!B16</f>
        <v>42460</v>
      </c>
      <c r="D3" s="28">
        <f>'[1]Data Sheet'!C16</f>
        <v>42825</v>
      </c>
      <c r="E3" s="28">
        <f>'[1]Data Sheet'!D16</f>
        <v>43190</v>
      </c>
      <c r="F3" s="28">
        <f>'[1]Data Sheet'!E16</f>
        <v>43555</v>
      </c>
      <c r="G3" s="28">
        <f>'[1]Data Sheet'!F16</f>
        <v>43921</v>
      </c>
      <c r="H3" s="28">
        <f>'[1]Data Sheet'!G16</f>
        <v>44286</v>
      </c>
      <c r="I3" s="28">
        <f>'[1]Data Sheet'!H16</f>
        <v>44651</v>
      </c>
      <c r="J3" s="28">
        <f>'[1]Data Sheet'!I16</f>
        <v>45016</v>
      </c>
      <c r="K3" s="28">
        <f>'[1]Data Sheet'!J16</f>
        <v>45382</v>
      </c>
      <c r="L3" s="28">
        <f>'[1]Data Sheet'!K16</f>
        <v>45747</v>
      </c>
      <c r="M3" s="29" t="s">
        <v>55</v>
      </c>
    </row>
    <row r="4" spans="1:13" s="7" customFormat="1" x14ac:dyDescent="0.3">
      <c r="B4" s="8"/>
      <c r="C4" s="8"/>
      <c r="D4" s="8"/>
      <c r="E4" s="8"/>
      <c r="F4" s="8"/>
      <c r="G4" s="8"/>
      <c r="H4" s="8"/>
      <c r="I4" s="8"/>
      <c r="J4" s="8"/>
      <c r="K4" s="8"/>
      <c r="L4" s="8"/>
      <c r="M4" s="9"/>
    </row>
    <row r="5" spans="1:13" x14ac:dyDescent="0.3">
      <c r="A5" s="10" t="s">
        <v>56</v>
      </c>
      <c r="B5" s="30" t="s">
        <v>57</v>
      </c>
      <c r="C5" s="32"/>
      <c r="D5" s="32"/>
      <c r="E5" s="32"/>
      <c r="F5" s="32"/>
      <c r="G5" s="32"/>
      <c r="H5" s="32"/>
      <c r="I5" s="32"/>
      <c r="J5" s="32"/>
      <c r="K5" s="32"/>
      <c r="L5" s="32"/>
      <c r="M5" s="32"/>
    </row>
    <row r="6" spans="1:13" x14ac:dyDescent="0.3">
      <c r="B6" t="s">
        <v>12</v>
      </c>
      <c r="C6" s="11">
        <f>IFERROR('[1]Data Sheet'!B17,'[1]Data Sheet'!C17)</f>
        <v>62441</v>
      </c>
      <c r="D6" s="11">
        <f>IFERROR('[1]Data Sheet'!C17,'[1]Data Sheet'!D17)</f>
        <v>68484</v>
      </c>
      <c r="E6" s="11">
        <f>IFERROR('[1]Data Sheet'!D17,'[1]Data Sheet'!E17)</f>
        <v>70522</v>
      </c>
      <c r="F6" s="11">
        <f>IFERROR('[1]Data Sheet'!E17,'[1]Data Sheet'!F17)</f>
        <v>82675</v>
      </c>
      <c r="G6" s="11">
        <f>IFERROR('[1]Data Sheet'!F17,'[1]Data Sheet'!G17)</f>
        <v>90791</v>
      </c>
      <c r="H6" s="11">
        <f>IFERROR('[1]Data Sheet'!G17,'[1]Data Sheet'!H17)</f>
        <v>100472</v>
      </c>
      <c r="I6" s="11">
        <f>IFERROR('[1]Data Sheet'!H17,'[1]Data Sheet'!I17)</f>
        <v>121641</v>
      </c>
      <c r="J6" s="11">
        <f>IFERROR('[1]Data Sheet'!I17,'[1]Data Sheet'!J17)</f>
        <v>146767</v>
      </c>
      <c r="K6" s="11">
        <f>IFERROR('[1]Data Sheet'!J17,'[1]Data Sheet'!K17)</f>
        <v>153670</v>
      </c>
      <c r="L6" s="11">
        <f>IFERROR('[1]Data Sheet'!K17,'[1]Data Sheet'!L17)</f>
        <v>162990</v>
      </c>
      <c r="M6" s="11">
        <f>IFERROR(SUM('[1]Data Sheet'!H42:K42),0)</f>
        <v>173173</v>
      </c>
    </row>
    <row r="7" spans="1:13" x14ac:dyDescent="0.3">
      <c r="B7" s="12" t="s">
        <v>58</v>
      </c>
      <c r="C7" s="13"/>
      <c r="D7" s="13">
        <f>D6/C6-1</f>
        <v>9.67793597155715E-2</v>
      </c>
      <c r="E7" s="13">
        <f t="shared" ref="E7:M7" si="0">E6/D6-1</f>
        <v>2.9758775772443125E-2</v>
      </c>
      <c r="F7" s="13">
        <f t="shared" si="0"/>
        <v>0.17232920223476356</v>
      </c>
      <c r="G7" s="13">
        <f t="shared" si="0"/>
        <v>9.8167523435137571E-2</v>
      </c>
      <c r="H7" s="13">
        <f t="shared" si="0"/>
        <v>0.10662951173574475</v>
      </c>
      <c r="I7" s="13">
        <f t="shared" si="0"/>
        <v>0.21069551715900947</v>
      </c>
      <c r="J7" s="13">
        <f t="shared" si="0"/>
        <v>0.20655864387829759</v>
      </c>
      <c r="K7" s="13">
        <f t="shared" si="0"/>
        <v>4.7033733741236095E-2</v>
      </c>
      <c r="L7" s="13">
        <f t="shared" si="0"/>
        <v>6.0649443612936782E-2</v>
      </c>
      <c r="M7" s="13">
        <f t="shared" si="0"/>
        <v>6.2476225535308849E-2</v>
      </c>
    </row>
    <row r="9" spans="1:13" x14ac:dyDescent="0.3">
      <c r="B9" t="s">
        <v>59</v>
      </c>
      <c r="C9" s="11">
        <f>IFERROR(SUM('[1]Data Sheet'!B20:B22)-1*'[1]Data Sheet'!B19,0)</f>
        <v>40492</v>
      </c>
      <c r="D9" s="11">
        <f>IFERROR(SUM('[1]Data Sheet'!C20:C22)-1*'[1]Data Sheet'!C19,0)</f>
        <v>44609</v>
      </c>
      <c r="E9" s="11">
        <f>IFERROR(SUM('[1]Data Sheet'!D20:D22)-1*'[1]Data Sheet'!D19,0)</f>
        <v>46395</v>
      </c>
      <c r="F9" s="11">
        <f>IFERROR(SUM('[1]Data Sheet'!E20:E22)-1*'[1]Data Sheet'!E19,0)</f>
        <v>55446</v>
      </c>
      <c r="G9" s="11">
        <f>IFERROR(SUM('[1]Data Sheet'!F20:F22)-1*'[1]Data Sheet'!F19,0)</f>
        <v>62210</v>
      </c>
      <c r="H9" s="11">
        <f>IFERROR(SUM('[1]Data Sheet'!G20:G22)-1*'[1]Data Sheet'!G19,0)</f>
        <v>68490</v>
      </c>
      <c r="I9" s="11">
        <f>IFERROR(SUM('[1]Data Sheet'!H20:H22)-1*'[1]Data Sheet'!H19,0)</f>
        <v>84819</v>
      </c>
      <c r="J9" s="11">
        <f>IFERROR(SUM('[1]Data Sheet'!I20:I22)-1*'[1]Data Sheet'!I19,0)</f>
        <v>104880</v>
      </c>
      <c r="K9" s="11">
        <f>IFERROR(SUM('[1]Data Sheet'!J20:J22)-1*'[1]Data Sheet'!J19,0)</f>
        <v>110030</v>
      </c>
      <c r="L9" s="11">
        <f>IFERROR(SUM('[1]Data Sheet'!K20:K22)-1*'[1]Data Sheet'!K19,0)</f>
        <v>116585</v>
      </c>
      <c r="M9" s="11">
        <f>IFERROR(SUM('[1]Data Sheet'!H43:K43),0)</f>
        <v>132187</v>
      </c>
    </row>
    <row r="10" spans="1:13" x14ac:dyDescent="0.3">
      <c r="B10" s="12" t="s">
        <v>60</v>
      </c>
      <c r="C10" s="13">
        <f>C9/C6</f>
        <v>0.64848416905558848</v>
      </c>
      <c r="D10" s="13">
        <f t="shared" ref="D10:L10" si="1">D9/D6</f>
        <v>0.65137842415746738</v>
      </c>
      <c r="E10" s="13">
        <f t="shared" si="1"/>
        <v>0.65787981055557132</v>
      </c>
      <c r="F10" s="13">
        <f t="shared" si="1"/>
        <v>0.67065013607499246</v>
      </c>
      <c r="G10" s="13">
        <f t="shared" si="1"/>
        <v>0.68520007489729162</v>
      </c>
      <c r="H10" s="13">
        <f t="shared" si="1"/>
        <v>0.68168245879448996</v>
      </c>
      <c r="I10" s="13">
        <f t="shared" si="1"/>
        <v>0.69728956519594543</v>
      </c>
      <c r="J10" s="13">
        <f t="shared" si="1"/>
        <v>0.71460205632056251</v>
      </c>
      <c r="K10" s="13">
        <f t="shared" si="1"/>
        <v>0.71601483698835167</v>
      </c>
      <c r="L10" s="13">
        <f t="shared" si="1"/>
        <v>0.71528928155101545</v>
      </c>
      <c r="M10" s="13">
        <f>M9/M6</f>
        <v>0.76332338182049164</v>
      </c>
    </row>
    <row r="12" spans="1:13" x14ac:dyDescent="0.3">
      <c r="B12" s="14" t="s">
        <v>61</v>
      </c>
      <c r="C12" s="15">
        <f>C6-C9</f>
        <v>21949</v>
      </c>
      <c r="D12" s="15">
        <f t="shared" ref="D12:L12" si="2">D6-D9</f>
        <v>23875</v>
      </c>
      <c r="E12" s="15">
        <f t="shared" si="2"/>
        <v>24127</v>
      </c>
      <c r="F12" s="15">
        <f t="shared" si="2"/>
        <v>27229</v>
      </c>
      <c r="G12" s="15">
        <f t="shared" si="2"/>
        <v>28581</v>
      </c>
      <c r="H12" s="15">
        <f t="shared" si="2"/>
        <v>31982</v>
      </c>
      <c r="I12" s="15">
        <f t="shared" si="2"/>
        <v>36822</v>
      </c>
      <c r="J12" s="15">
        <f t="shared" si="2"/>
        <v>41887</v>
      </c>
      <c r="K12" s="15">
        <f t="shared" si="2"/>
        <v>43640</v>
      </c>
      <c r="L12" s="15">
        <f t="shared" si="2"/>
        <v>46405</v>
      </c>
      <c r="M12" s="15">
        <f>M6-M9</f>
        <v>40986</v>
      </c>
    </row>
    <row r="13" spans="1:13" x14ac:dyDescent="0.3">
      <c r="B13" s="13" t="s">
        <v>62</v>
      </c>
      <c r="C13" s="13">
        <f>C12/C6</f>
        <v>0.35151583094441152</v>
      </c>
      <c r="D13" s="13">
        <f>D12/D6</f>
        <v>0.34862157584253256</v>
      </c>
      <c r="E13" s="13">
        <f t="shared" ref="E13:M13" si="3">E12/E6</f>
        <v>0.34212018944442868</v>
      </c>
      <c r="F13" s="13">
        <f t="shared" si="3"/>
        <v>0.32934986392500754</v>
      </c>
      <c r="G13" s="13">
        <f t="shared" si="3"/>
        <v>0.31479992510270843</v>
      </c>
      <c r="H13" s="13">
        <f t="shared" si="3"/>
        <v>0.31831754120550998</v>
      </c>
      <c r="I13" s="13">
        <f t="shared" si="3"/>
        <v>0.30271043480405457</v>
      </c>
      <c r="J13" s="13">
        <f t="shared" si="3"/>
        <v>0.28539794367943749</v>
      </c>
      <c r="K13" s="13">
        <f t="shared" si="3"/>
        <v>0.28398516301164833</v>
      </c>
      <c r="L13" s="13">
        <f>L12/L6</f>
        <v>0.2847107184489846</v>
      </c>
      <c r="M13" s="13">
        <f t="shared" si="3"/>
        <v>0.23667661817950836</v>
      </c>
    </row>
    <row r="14" spans="1:13" x14ac:dyDescent="0.3">
      <c r="C14" s="11"/>
      <c r="D14" s="11"/>
      <c r="E14" s="11"/>
      <c r="F14" s="11"/>
      <c r="G14" s="11"/>
      <c r="H14" s="11"/>
      <c r="I14" s="11"/>
      <c r="J14" s="11"/>
      <c r="K14" s="11"/>
      <c r="L14" s="11"/>
      <c r="M14" s="11"/>
    </row>
    <row r="15" spans="1:13" x14ac:dyDescent="0.3">
      <c r="B15" t="s">
        <v>63</v>
      </c>
      <c r="C15" s="11">
        <f>IFERROR(SUM('[1]Data Sheet'!B23:B24),0)</f>
        <v>4870</v>
      </c>
      <c r="D15" s="11">
        <f>IFERROR(SUM('[1]Data Sheet'!C23:C24),0)</f>
        <v>5271</v>
      </c>
      <c r="E15" s="11">
        <f>IFERROR(SUM('[1]Data Sheet'!D23:D24),0)</f>
        <v>5305</v>
      </c>
      <c r="F15" s="11">
        <f>IFERROR(SUM('[1]Data Sheet'!E23:E24),0)</f>
        <v>7059</v>
      </c>
      <c r="G15" s="11">
        <f>IFERROR(SUM('[1]Data Sheet'!F23:F24),0)</f>
        <v>6314</v>
      </c>
      <c r="H15" s="11">
        <f>IFERROR(SUM('[1]Data Sheet'!G23:G24),0)</f>
        <v>4093</v>
      </c>
      <c r="I15" s="11">
        <f>IFERROR(SUM('[1]Data Sheet'!H23:H24),0)</f>
        <v>5331</v>
      </c>
      <c r="J15" s="11">
        <f>IFERROR(SUM('[1]Data Sheet'!I23:I24),0)</f>
        <v>6757</v>
      </c>
      <c r="K15" s="11">
        <f>IFERROR(SUM('[1]Data Sheet'!J23:J24),0)</f>
        <v>7215</v>
      </c>
      <c r="L15" s="11">
        <f>IFERROR(SUM('[1]Data Sheet'!K23:K24),0)</f>
        <v>7169</v>
      </c>
      <c r="M15" s="11"/>
    </row>
    <row r="16" spans="1:13" x14ac:dyDescent="0.3">
      <c r="B16" s="13" t="s">
        <v>64</v>
      </c>
      <c r="C16" s="13">
        <f>C15/C6</f>
        <v>7.7993625982927889E-2</v>
      </c>
      <c r="D16" s="13">
        <f t="shared" ref="D16:L16" si="4">D15/D6</f>
        <v>7.6966882775538814E-2</v>
      </c>
      <c r="E16" s="13">
        <f t="shared" si="4"/>
        <v>7.5224752559484978E-2</v>
      </c>
      <c r="F16" s="13">
        <f t="shared" si="4"/>
        <v>8.5382521923193233E-2</v>
      </c>
      <c r="G16" s="13">
        <f t="shared" si="4"/>
        <v>6.9544338095185648E-2</v>
      </c>
      <c r="H16" s="13">
        <f t="shared" si="4"/>
        <v>4.0737717971176049E-2</v>
      </c>
      <c r="I16" s="13">
        <f t="shared" si="4"/>
        <v>4.3825683774385282E-2</v>
      </c>
      <c r="J16" s="13">
        <f t="shared" si="4"/>
        <v>4.6038959711651804E-2</v>
      </c>
      <c r="K16" s="13">
        <f t="shared" si="4"/>
        <v>4.6951259191774584E-2</v>
      </c>
      <c r="L16" s="13">
        <f t="shared" si="4"/>
        <v>4.3984293514939564E-2</v>
      </c>
      <c r="M16" s="13"/>
    </row>
    <row r="18" spans="2:13" x14ac:dyDescent="0.3">
      <c r="B18" s="14" t="s">
        <v>65</v>
      </c>
      <c r="C18" s="15">
        <f>C12-C15</f>
        <v>17079</v>
      </c>
      <c r="D18" s="15">
        <f t="shared" ref="D18:M18" si="5">D12-D15</f>
        <v>18604</v>
      </c>
      <c r="E18" s="15">
        <f t="shared" si="5"/>
        <v>18822</v>
      </c>
      <c r="F18" s="15">
        <f t="shared" si="5"/>
        <v>20170</v>
      </c>
      <c r="G18" s="15">
        <f t="shared" si="5"/>
        <v>22267</v>
      </c>
      <c r="H18" s="15">
        <f t="shared" si="5"/>
        <v>27889</v>
      </c>
      <c r="I18" s="15">
        <f t="shared" si="5"/>
        <v>31491</v>
      </c>
      <c r="J18" s="15">
        <f t="shared" si="5"/>
        <v>35130</v>
      </c>
      <c r="K18" s="15">
        <f t="shared" si="5"/>
        <v>36425</v>
      </c>
      <c r="L18" s="15">
        <f t="shared" si="5"/>
        <v>39236</v>
      </c>
      <c r="M18" s="15">
        <f t="shared" si="5"/>
        <v>40986</v>
      </c>
    </row>
    <row r="19" spans="2:13" x14ac:dyDescent="0.3">
      <c r="B19" s="13" t="s">
        <v>66</v>
      </c>
      <c r="C19" s="13">
        <f t="shared" ref="C19:M19" si="6">C18/C6</f>
        <v>0.27352220496148366</v>
      </c>
      <c r="D19" s="13">
        <f t="shared" si="6"/>
        <v>0.27165469306699375</v>
      </c>
      <c r="E19" s="13">
        <f t="shared" si="6"/>
        <v>0.26689543688494372</v>
      </c>
      <c r="F19" s="13">
        <f t="shared" si="6"/>
        <v>0.24396734200181433</v>
      </c>
      <c r="G19" s="13">
        <f t="shared" si="6"/>
        <v>0.24525558700752279</v>
      </c>
      <c r="H19" s="13">
        <f t="shared" si="6"/>
        <v>0.27757982323433394</v>
      </c>
      <c r="I19" s="13">
        <f t="shared" si="6"/>
        <v>0.25888475102966929</v>
      </c>
      <c r="J19" s="13">
        <f t="shared" si="6"/>
        <v>0.23935898396778568</v>
      </c>
      <c r="K19" s="13">
        <f t="shared" si="6"/>
        <v>0.23703390381987374</v>
      </c>
      <c r="L19" s="13">
        <f t="shared" si="6"/>
        <v>0.24072642493404503</v>
      </c>
      <c r="M19" s="13">
        <f t="shared" si="6"/>
        <v>0.23667661817950836</v>
      </c>
    </row>
    <row r="21" spans="2:13" x14ac:dyDescent="0.3">
      <c r="B21" t="s">
        <v>22</v>
      </c>
      <c r="C21" s="11">
        <f>IFERROR(SUM('[1]Data Sheet'!B27),0)</f>
        <v>0</v>
      </c>
      <c r="D21" s="11">
        <f>IFERROR(SUM('[1]Data Sheet'!C27),0)</f>
        <v>0</v>
      </c>
      <c r="E21" s="11">
        <f>IFERROR(SUM('[1]Data Sheet'!D27),0)</f>
        <v>0</v>
      </c>
      <c r="F21" s="11">
        <f>IFERROR(SUM('[1]Data Sheet'!E27),0)</f>
        <v>0</v>
      </c>
      <c r="G21" s="11">
        <f>IFERROR(SUM('[1]Data Sheet'!F27),0)</f>
        <v>170</v>
      </c>
      <c r="H21" s="11">
        <f>IFERROR(SUM('[1]Data Sheet'!G27),0)</f>
        <v>195</v>
      </c>
      <c r="I21" s="11">
        <f>IFERROR(SUM('[1]Data Sheet'!H27),0)</f>
        <v>200</v>
      </c>
      <c r="J21" s="11">
        <f>IFERROR(SUM('[1]Data Sheet'!I27),0)</f>
        <v>284</v>
      </c>
      <c r="K21" s="11">
        <f>IFERROR(SUM('[1]Data Sheet'!J27),0)</f>
        <v>470</v>
      </c>
      <c r="L21" s="11">
        <f>IFERROR(SUM('[1]Data Sheet'!K27),0)</f>
        <v>416</v>
      </c>
      <c r="M21" s="11">
        <f>IFERROR(SUM('[1]Data Sheet'!H46:K46),)</f>
        <v>413</v>
      </c>
    </row>
    <row r="22" spans="2:13" x14ac:dyDescent="0.3">
      <c r="B22" s="13" t="s">
        <v>67</v>
      </c>
      <c r="C22" s="13">
        <f>C21/C6</f>
        <v>0</v>
      </c>
      <c r="D22" s="13">
        <f t="shared" ref="D22:M22" si="7">D21/D6</f>
        <v>0</v>
      </c>
      <c r="E22" s="13">
        <f t="shared" si="7"/>
        <v>0</v>
      </c>
      <c r="F22" s="13">
        <f t="shared" si="7"/>
        <v>0</v>
      </c>
      <c r="G22" s="13">
        <f t="shared" si="7"/>
        <v>1.8724322895441179E-3</v>
      </c>
      <c r="H22" s="13">
        <f t="shared" si="7"/>
        <v>1.9408392387928975E-3</v>
      </c>
      <c r="I22" s="13">
        <f t="shared" si="7"/>
        <v>1.6441824713706726E-3</v>
      </c>
      <c r="J22" s="13">
        <f t="shared" si="7"/>
        <v>1.9350398931639945E-3</v>
      </c>
      <c r="K22" s="13">
        <f t="shared" si="7"/>
        <v>3.0585019847725646E-3</v>
      </c>
      <c r="L22" s="13">
        <f t="shared" si="7"/>
        <v>2.5523038223203877E-3</v>
      </c>
      <c r="M22" s="13">
        <f t="shared" si="7"/>
        <v>2.384898338655564E-3</v>
      </c>
    </row>
    <row r="24" spans="2:13" x14ac:dyDescent="0.3">
      <c r="B24" t="s">
        <v>21</v>
      </c>
      <c r="C24" s="11">
        <f>IFERROR(SUM('[1]Data Sheet'!B26),0)</f>
        <v>1459</v>
      </c>
      <c r="D24" s="11">
        <f>IFERROR(SUM('[1]Data Sheet'!C26),0)</f>
        <v>1703</v>
      </c>
      <c r="E24" s="11">
        <f>IFERROR(SUM('[1]Data Sheet'!D26),0)</f>
        <v>1863</v>
      </c>
      <c r="F24" s="11">
        <f>IFERROR(SUM('[1]Data Sheet'!E26),0)</f>
        <v>2011</v>
      </c>
      <c r="G24" s="11">
        <f>IFERROR(SUM('[1]Data Sheet'!F26),0)</f>
        <v>2893</v>
      </c>
      <c r="H24" s="11">
        <f>IFERROR(SUM('[1]Data Sheet'!G26),0)</f>
        <v>3267</v>
      </c>
      <c r="I24" s="11">
        <f>IFERROR(SUM('[1]Data Sheet'!H26),0)</f>
        <v>3476</v>
      </c>
      <c r="J24" s="11">
        <f>IFERROR(SUM('[1]Data Sheet'!I26),0)</f>
        <v>4225</v>
      </c>
      <c r="K24" s="11">
        <f>IFERROR(SUM('[1]Data Sheet'!J26),0)</f>
        <v>4678</v>
      </c>
      <c r="L24" s="11">
        <f>IFERROR(SUM('[1]Data Sheet'!K26),0)</f>
        <v>4812</v>
      </c>
      <c r="M24" s="11">
        <f>IFERROR(SUM('[1]Data Sheet'!H45:K45),0)</f>
        <v>4776</v>
      </c>
    </row>
    <row r="25" spans="2:13" x14ac:dyDescent="0.3">
      <c r="B25" s="13" t="s">
        <v>68</v>
      </c>
      <c r="C25" s="13">
        <f>C24/C6</f>
        <v>2.3366057558335068E-2</v>
      </c>
      <c r="D25" s="13">
        <f t="shared" ref="D25:M25" si="8">D24/D6</f>
        <v>2.4867122247532271E-2</v>
      </c>
      <c r="E25" s="13">
        <f t="shared" si="8"/>
        <v>2.6417288222115084E-2</v>
      </c>
      <c r="F25" s="13">
        <f t="shared" si="8"/>
        <v>2.4324160870879952E-2</v>
      </c>
      <c r="G25" s="13">
        <f t="shared" si="8"/>
        <v>3.1864391845006661E-2</v>
      </c>
      <c r="H25" s="13">
        <f t="shared" si="8"/>
        <v>3.2516522016084085E-2</v>
      </c>
      <c r="I25" s="13">
        <f t="shared" si="8"/>
        <v>2.8575891352422292E-2</v>
      </c>
      <c r="J25" s="13">
        <f t="shared" si="8"/>
        <v>2.8787125171189708E-2</v>
      </c>
      <c r="K25" s="13">
        <f t="shared" si="8"/>
        <v>3.0441855925034164E-2</v>
      </c>
      <c r="L25" s="13">
        <f t="shared" si="8"/>
        <v>2.9523283637032948E-2</v>
      </c>
      <c r="M25" s="13">
        <f t="shared" si="8"/>
        <v>2.7579357059125845E-2</v>
      </c>
    </row>
    <row r="27" spans="2:13" x14ac:dyDescent="0.3">
      <c r="B27" s="14" t="s">
        <v>69</v>
      </c>
      <c r="C27" s="15">
        <f>IFERROR(C18-SUM(C24,C21),0)</f>
        <v>15620</v>
      </c>
      <c r="D27" s="15">
        <f t="shared" ref="D27:L27" si="9">IFERROR(D18-SUM(D24,D21),0)</f>
        <v>16901</v>
      </c>
      <c r="E27" s="15">
        <f t="shared" si="9"/>
        <v>16959</v>
      </c>
      <c r="F27" s="15">
        <f t="shared" si="9"/>
        <v>18159</v>
      </c>
      <c r="G27" s="15">
        <f t="shared" si="9"/>
        <v>19204</v>
      </c>
      <c r="H27" s="15">
        <f t="shared" si="9"/>
        <v>24427</v>
      </c>
      <c r="I27" s="15">
        <f t="shared" si="9"/>
        <v>27815</v>
      </c>
      <c r="J27" s="15">
        <f t="shared" si="9"/>
        <v>30621</v>
      </c>
      <c r="K27" s="15">
        <f t="shared" si="9"/>
        <v>31277</v>
      </c>
      <c r="L27" s="15">
        <f t="shared" si="9"/>
        <v>34008</v>
      </c>
      <c r="M27" s="15">
        <f>IFERROR(SUM('[1]Data Sheet'!H47:K47),0)</f>
        <v>38861</v>
      </c>
    </row>
    <row r="28" spans="2:13" x14ac:dyDescent="0.3">
      <c r="B28" s="13" t="s">
        <v>70</v>
      </c>
      <c r="C28" s="13">
        <f>C27/C6</f>
        <v>0.25015614740314857</v>
      </c>
      <c r="D28" s="13">
        <f t="shared" ref="D28:M28" si="10">D27/D6</f>
        <v>0.24678757081946148</v>
      </c>
      <c r="E28" s="13">
        <f t="shared" si="10"/>
        <v>0.24047814866282863</v>
      </c>
      <c r="F28" s="13">
        <f t="shared" si="10"/>
        <v>0.2196431811309344</v>
      </c>
      <c r="G28" s="13">
        <f t="shared" si="10"/>
        <v>0.211518762872972</v>
      </c>
      <c r="H28" s="13">
        <f t="shared" si="10"/>
        <v>0.24312246197945697</v>
      </c>
      <c r="I28" s="13">
        <f t="shared" si="10"/>
        <v>0.2286646772058763</v>
      </c>
      <c r="J28" s="13">
        <f t="shared" si="10"/>
        <v>0.20863681890343197</v>
      </c>
      <c r="K28" s="13">
        <f t="shared" si="10"/>
        <v>0.20353354591006703</v>
      </c>
      <c r="L28" s="13">
        <f t="shared" si="10"/>
        <v>0.20865083747469171</v>
      </c>
      <c r="M28" s="13">
        <f t="shared" si="10"/>
        <v>0.22440565215131689</v>
      </c>
    </row>
    <row r="30" spans="2:13" x14ac:dyDescent="0.3">
      <c r="B30" t="s">
        <v>24</v>
      </c>
      <c r="C30" s="11">
        <f>IFERROR(SUM('[1]Data Sheet'!B29),0)</f>
        <v>5251</v>
      </c>
      <c r="D30" s="11">
        <f>IFERROR(SUM('[1]Data Sheet'!C29),0)</f>
        <v>5598</v>
      </c>
      <c r="E30" s="11">
        <f>IFERROR(SUM('[1]Data Sheet'!D29),0)</f>
        <v>4241</v>
      </c>
      <c r="F30" s="11">
        <f>IFERROR(SUM('[1]Data Sheet'!E29),0)</f>
        <v>5631</v>
      </c>
      <c r="G30" s="11">
        <f>IFERROR(SUM('[1]Data Sheet'!F29),0)</f>
        <v>5368</v>
      </c>
      <c r="H30" s="11">
        <f>IFERROR(SUM('[1]Data Sheet'!G29),0)</f>
        <v>7205</v>
      </c>
      <c r="I30" s="11">
        <f>IFERROR(SUM('[1]Data Sheet'!H29),0)</f>
        <v>7964</v>
      </c>
      <c r="J30" s="11">
        <f>IFERROR(SUM('[1]Data Sheet'!I29),0)</f>
        <v>9214</v>
      </c>
      <c r="K30" s="11">
        <f>IFERROR(SUM('[1]Data Sheet'!J29),0)</f>
        <v>9740</v>
      </c>
      <c r="L30" s="11">
        <f>IFERROR(SUM('[1]Data Sheet'!K29),0)</f>
        <v>10858</v>
      </c>
      <c r="M30" s="11">
        <f>IFERROR(SUM('[1]Data Sheet'!H48:K48),0)</f>
        <v>10858</v>
      </c>
    </row>
    <row r="31" spans="2:13" x14ac:dyDescent="0.3">
      <c r="B31" s="13" t="s">
        <v>71</v>
      </c>
      <c r="C31" s="13">
        <f>C30/C27</f>
        <v>0.33617157490396926</v>
      </c>
      <c r="D31" s="13">
        <f t="shared" ref="D31:L31" si="11">D30/D27</f>
        <v>0.33122300455594345</v>
      </c>
      <c r="E31" s="13">
        <f t="shared" si="11"/>
        <v>0.25007370717613064</v>
      </c>
      <c r="F31" s="13">
        <f t="shared" si="11"/>
        <v>0.31009416818106722</v>
      </c>
      <c r="G31" s="13">
        <f t="shared" si="11"/>
        <v>0.27952509893772132</v>
      </c>
      <c r="H31" s="13">
        <f t="shared" si="11"/>
        <v>0.29496049453473616</v>
      </c>
      <c r="I31" s="13">
        <f t="shared" si="11"/>
        <v>0.28632033075678592</v>
      </c>
      <c r="J31" s="13">
        <f t="shared" si="11"/>
        <v>0.30090460794879331</v>
      </c>
      <c r="K31" s="13">
        <f t="shared" si="11"/>
        <v>0.31141094094702176</v>
      </c>
      <c r="L31" s="13">
        <f t="shared" si="11"/>
        <v>0.31927781698423902</v>
      </c>
      <c r="M31" s="13">
        <f>M30/M27</f>
        <v>0.27940608836622838</v>
      </c>
    </row>
    <row r="33" spans="1:13" x14ac:dyDescent="0.3">
      <c r="B33" s="14" t="s">
        <v>72</v>
      </c>
      <c r="C33" s="15">
        <f>(C27-C30)</f>
        <v>10369</v>
      </c>
      <c r="D33" s="15">
        <f t="shared" ref="D33:L33" si="12">(D27-D30)</f>
        <v>11303</v>
      </c>
      <c r="E33" s="15">
        <f t="shared" si="12"/>
        <v>12718</v>
      </c>
      <c r="F33" s="15">
        <f t="shared" si="12"/>
        <v>12528</v>
      </c>
      <c r="G33" s="15">
        <f t="shared" si="12"/>
        <v>13836</v>
      </c>
      <c r="H33" s="15">
        <f t="shared" si="12"/>
        <v>17222</v>
      </c>
      <c r="I33" s="15">
        <f t="shared" si="12"/>
        <v>19851</v>
      </c>
      <c r="J33" s="15">
        <f t="shared" si="12"/>
        <v>21407</v>
      </c>
      <c r="K33" s="15">
        <f t="shared" si="12"/>
        <v>21537</v>
      </c>
      <c r="L33" s="15">
        <f t="shared" si="12"/>
        <v>23150</v>
      </c>
      <c r="M33" s="15">
        <f>(M27-M30)</f>
        <v>28003</v>
      </c>
    </row>
    <row r="34" spans="1:13" x14ac:dyDescent="0.3">
      <c r="B34" s="13" t="s">
        <v>73</v>
      </c>
      <c r="C34" s="13">
        <f>C33/C6</f>
        <v>0.16606076135872264</v>
      </c>
      <c r="D34" s="13">
        <f t="shared" ref="D34:L34" si="13">D33/D6</f>
        <v>0.16504585012557677</v>
      </c>
      <c r="E34" s="13">
        <f t="shared" si="13"/>
        <v>0.18034088653186239</v>
      </c>
      <c r="F34" s="13">
        <f t="shared" si="13"/>
        <v>0.1515331115814938</v>
      </c>
      <c r="G34" s="13">
        <f t="shared" si="13"/>
        <v>0.15239395975372008</v>
      </c>
      <c r="H34" s="13">
        <f t="shared" si="13"/>
        <v>0.17141094036149376</v>
      </c>
      <c r="I34" s="13">
        <f t="shared" si="13"/>
        <v>0.16319333119589613</v>
      </c>
      <c r="J34" s="13">
        <f t="shared" si="13"/>
        <v>0.14585703870761138</v>
      </c>
      <c r="K34" s="13">
        <f t="shared" si="13"/>
        <v>0.14015097286392919</v>
      </c>
      <c r="L34" s="13">
        <f t="shared" si="13"/>
        <v>0.14203325357383889</v>
      </c>
      <c r="M34" s="13">
        <f>M33/M6</f>
        <v>0.16170534667644496</v>
      </c>
    </row>
    <row r="36" spans="1:13" x14ac:dyDescent="0.3">
      <c r="B36" t="s">
        <v>74</v>
      </c>
      <c r="C36" s="11">
        <f>IFERROR('[1]Data Sheet'!B93,0)</f>
        <v>459.39</v>
      </c>
      <c r="D36" s="11">
        <f>IFERROR('[1]Data Sheet'!C93,0)</f>
        <v>459.39</v>
      </c>
      <c r="E36" s="11">
        <f>IFERROR('[1]Data Sheet'!D93,0)</f>
        <v>436.82</v>
      </c>
      <c r="F36" s="11">
        <f>IFERROR('[1]Data Sheet'!E93,0)</f>
        <v>436.89</v>
      </c>
      <c r="G36" s="11">
        <f>IFERROR('[1]Data Sheet'!F93,0)</f>
        <v>425.9</v>
      </c>
      <c r="H36" s="11">
        <f>IFERROR('[1]Data Sheet'!G93,0)</f>
        <v>426.07</v>
      </c>
      <c r="I36" s="11">
        <f>IFERROR('[1]Data Sheet'!H93,0)</f>
        <v>420.67</v>
      </c>
      <c r="J36" s="11">
        <f>IFERROR('[1]Data Sheet'!I93,0)</f>
        <v>414.86</v>
      </c>
      <c r="K36" s="11">
        <f>IFERROR('[1]Data Sheet'!J93,0)</f>
        <v>415.09</v>
      </c>
      <c r="L36" s="11">
        <f>IFERROR('[1]Data Sheet'!K93,0)</f>
        <v>415.33</v>
      </c>
      <c r="M36" s="11">
        <f>IFERROR('[1]Data Sheet'!L93,0)</f>
        <v>0</v>
      </c>
    </row>
    <row r="38" spans="1:13" x14ac:dyDescent="0.3">
      <c r="B38" t="s">
        <v>75</v>
      </c>
      <c r="C38" s="11">
        <f>C33/C36</f>
        <v>22.571235769172162</v>
      </c>
      <c r="D38" s="11">
        <f t="shared" ref="D38:L38" si="14">D33/D36</f>
        <v>24.604366660136268</v>
      </c>
      <c r="E38" s="11">
        <f t="shared" si="14"/>
        <v>29.114967263403692</v>
      </c>
      <c r="F38" s="11">
        <f t="shared" si="14"/>
        <v>28.6754102863421</v>
      </c>
      <c r="G38" s="11">
        <f t="shared" si="14"/>
        <v>32.486499178210849</v>
      </c>
      <c r="H38" s="11">
        <f t="shared" si="14"/>
        <v>40.420588166263762</v>
      </c>
      <c r="I38" s="11">
        <f t="shared" si="14"/>
        <v>47.189008011030019</v>
      </c>
      <c r="J38" s="11">
        <f t="shared" si="14"/>
        <v>51.600539941184977</v>
      </c>
      <c r="K38" s="11">
        <f t="shared" si="14"/>
        <v>51.885133344575877</v>
      </c>
      <c r="L38" s="11">
        <f t="shared" si="14"/>
        <v>55.738810102809815</v>
      </c>
      <c r="M38" s="11"/>
    </row>
    <row r="39" spans="1:13" x14ac:dyDescent="0.3">
      <c r="B39" s="13" t="s">
        <v>76</v>
      </c>
      <c r="C39" s="13">
        <f t="shared" ref="C39:L39" si="15">IFERROR(D38/C38-1,0)</f>
        <v>9.0076188639213184E-2</v>
      </c>
      <c r="D39" s="13">
        <f t="shared" si="15"/>
        <v>0.1833252066827411</v>
      </c>
      <c r="E39" s="13">
        <f t="shared" si="15"/>
        <v>-1.5097285636109792E-2</v>
      </c>
      <c r="F39" s="13">
        <f t="shared" si="15"/>
        <v>0.13290442416734827</v>
      </c>
      <c r="G39" s="13">
        <f t="shared" si="15"/>
        <v>0.24422726944288353</v>
      </c>
      <c r="H39" s="13">
        <f t="shared" si="15"/>
        <v>0.16744981089650213</v>
      </c>
      <c r="I39" s="13">
        <f t="shared" si="15"/>
        <v>9.3486430762091954E-2</v>
      </c>
      <c r="J39" s="13">
        <f t="shared" si="15"/>
        <v>5.5153183225462588E-3</v>
      </c>
      <c r="K39" s="13">
        <f t="shared" si="15"/>
        <v>7.4273236085588668E-2</v>
      </c>
      <c r="L39" s="13">
        <f t="shared" si="15"/>
        <v>-1</v>
      </c>
      <c r="M39" s="11"/>
    </row>
    <row r="40" spans="1:13" x14ac:dyDescent="0.3">
      <c r="B40" s="13"/>
      <c r="C40" s="13"/>
      <c r="D40" s="13"/>
      <c r="E40" s="13"/>
      <c r="F40" s="13"/>
      <c r="G40" s="13"/>
      <c r="H40" s="13"/>
      <c r="I40" s="13"/>
      <c r="J40" s="13"/>
      <c r="K40" s="13"/>
      <c r="L40" s="13"/>
      <c r="M40" s="11"/>
    </row>
    <row r="41" spans="1:13" x14ac:dyDescent="0.3">
      <c r="B41" s="11" t="s">
        <v>77</v>
      </c>
      <c r="C41" s="11">
        <f>IFERROR('[1]Data Sheet'!B31/'[1]Historical FS'!C36,0)</f>
        <v>12.077755284181196</v>
      </c>
      <c r="D41" s="11">
        <f>IFERROR('[1]Data Sheet'!C31/'[1]Historical FS'!D36,0)</f>
        <v>12.824832930625396</v>
      </c>
      <c r="E41" s="11">
        <f>IFERROR('[1]Data Sheet'!D31/'[1]Historical FS'!E36,0)</f>
        <v>21.669337484547412</v>
      </c>
      <c r="F41" s="11">
        <f>IFERROR('[1]Data Sheet'!E31/'[1]Historical FS'!F36,0)</f>
        <v>21.109432580283368</v>
      </c>
      <c r="G41" s="11">
        <f>IFERROR('[1]Data Sheet'!F31/'[1]Historical FS'!G36,0)</f>
        <v>17.438365813571263</v>
      </c>
      <c r="H41" s="11">
        <f>IFERROR('[1]Data Sheet'!G31/'[1]Historical FS'!H36,0)</f>
        <v>26.919520266622857</v>
      </c>
      <c r="I41" s="11">
        <f>IFERROR('[1]Data Sheet'!H31/'[1]Historical FS'!I36,0)</f>
        <v>30.921149594694178</v>
      </c>
      <c r="J41" s="11">
        <f>IFERROR('[1]Data Sheet'!I31/'[1]Historical FS'!J36,0)</f>
        <v>33.913127320059779</v>
      </c>
      <c r="K41" s="11">
        <f>IFERROR('[1]Data Sheet'!J31/'[1]Historical FS'!K36,0)</f>
        <v>45.901370787058234</v>
      </c>
      <c r="L41" s="11">
        <f>IFERROR('[1]Data Sheet'!K31/'[1]Historical FS'!L36,0)</f>
        <v>42.924421544314157</v>
      </c>
      <c r="M41" s="11"/>
    </row>
    <row r="42" spans="1:13" x14ac:dyDescent="0.3">
      <c r="B42" s="13" t="s">
        <v>78</v>
      </c>
      <c r="C42" s="13">
        <f>IFERROR(C41/C38,0)</f>
        <v>0.53509499469572763</v>
      </c>
      <c r="D42" s="13">
        <f t="shared" ref="D42:L42" si="16">IFERROR(D41/D38,0)</f>
        <v>0.52124214810227376</v>
      </c>
      <c r="E42" s="13">
        <f t="shared" si="16"/>
        <v>0.74426796666142481</v>
      </c>
      <c r="F42" s="13">
        <f t="shared" si="16"/>
        <v>0.73615102171136659</v>
      </c>
      <c r="G42" s="13">
        <f t="shared" si="16"/>
        <v>0.53678808904307607</v>
      </c>
      <c r="H42" s="13">
        <f t="shared" si="16"/>
        <v>0.66598536755312976</v>
      </c>
      <c r="I42" s="13">
        <f t="shared" si="16"/>
        <v>0.6552616996624856</v>
      </c>
      <c r="J42" s="13">
        <f t="shared" si="16"/>
        <v>0.65722427243425052</v>
      </c>
      <c r="K42" s="13">
        <f t="shared" si="16"/>
        <v>0.8846728885174352</v>
      </c>
      <c r="L42" s="13">
        <f t="shared" si="16"/>
        <v>0.77009935205183577</v>
      </c>
    </row>
    <row r="43" spans="1:13" x14ac:dyDescent="0.3">
      <c r="B43" s="13"/>
      <c r="C43" s="13"/>
      <c r="D43" s="13"/>
      <c r="E43" s="13"/>
      <c r="F43" s="13"/>
      <c r="G43" s="13"/>
      <c r="H43" s="13"/>
      <c r="I43" s="13"/>
      <c r="J43" s="13"/>
      <c r="K43" s="13"/>
      <c r="L43" s="13"/>
    </row>
    <row r="44" spans="1:13" x14ac:dyDescent="0.3">
      <c r="B44" s="11" t="s">
        <v>79</v>
      </c>
      <c r="C44" s="16">
        <f>IFERROR(IF(C38&gt;C41,1-C42,0),0)</f>
        <v>0.46490500530427237</v>
      </c>
      <c r="D44" s="16">
        <f t="shared" ref="D44:L44" si="17">IFERROR(IF(D38&gt;D41,1-D42,0),0)</f>
        <v>0.47875785189772624</v>
      </c>
      <c r="E44" s="16">
        <f t="shared" si="17"/>
        <v>0.25573203333857519</v>
      </c>
      <c r="F44" s="16">
        <f t="shared" si="17"/>
        <v>0.26384897828863341</v>
      </c>
      <c r="G44" s="16">
        <f t="shared" si="17"/>
        <v>0.46321191095692393</v>
      </c>
      <c r="H44" s="16">
        <f t="shared" si="17"/>
        <v>0.33401463244687024</v>
      </c>
      <c r="I44" s="16">
        <f t="shared" si="17"/>
        <v>0.3447383003375144</v>
      </c>
      <c r="J44" s="16">
        <f t="shared" si="17"/>
        <v>0.34277572756574948</v>
      </c>
      <c r="K44" s="16">
        <f t="shared" si="17"/>
        <v>0.1153271114825648</v>
      </c>
      <c r="L44" s="16">
        <f t="shared" si="17"/>
        <v>0.22990064794816423</v>
      </c>
      <c r="M44" s="17"/>
    </row>
    <row r="45" spans="1:13" x14ac:dyDescent="0.3">
      <c r="B45" s="18"/>
      <c r="C45" s="18"/>
      <c r="D45" s="18"/>
      <c r="E45" s="18"/>
      <c r="F45" s="18"/>
      <c r="G45" s="18"/>
      <c r="H45" s="18"/>
      <c r="I45" s="18"/>
      <c r="J45" s="18"/>
      <c r="K45" s="18"/>
      <c r="L45" s="18"/>
    </row>
    <row r="46" spans="1:13" x14ac:dyDescent="0.3">
      <c r="A46" s="10" t="s">
        <v>56</v>
      </c>
      <c r="B46" s="30" t="s">
        <v>80</v>
      </c>
      <c r="C46" s="31"/>
      <c r="D46" s="32"/>
      <c r="E46" s="32"/>
      <c r="F46" s="32"/>
      <c r="G46" s="32"/>
      <c r="H46" s="32"/>
      <c r="I46" s="32"/>
      <c r="J46" s="32"/>
      <c r="K46" s="32"/>
      <c r="L46" s="32"/>
      <c r="M46" s="32"/>
    </row>
    <row r="47" spans="1:13" x14ac:dyDescent="0.3">
      <c r="B47" s="19" t="s">
        <v>31</v>
      </c>
      <c r="C47" s="11">
        <f>IFERROR('[1]Data Sheet'!B57,0)</f>
        <v>1144</v>
      </c>
      <c r="D47" s="11">
        <f>IFERROR('[1]Data Sheet'!C57,0)</f>
        <v>1144</v>
      </c>
      <c r="E47" s="11">
        <f>IFERROR('[1]Data Sheet'!D57,0)</f>
        <v>1088</v>
      </c>
      <c r="F47" s="11">
        <f>IFERROR('[1]Data Sheet'!E57,0)</f>
        <v>2170</v>
      </c>
      <c r="G47" s="11">
        <f>IFERROR('[1]Data Sheet'!F57,0)</f>
        <v>2122</v>
      </c>
      <c r="H47" s="11">
        <f>IFERROR('[1]Data Sheet'!G57,0)</f>
        <v>2124</v>
      </c>
      <c r="I47" s="11">
        <f>IFERROR('[1]Data Sheet'!H57,0)</f>
        <v>2098</v>
      </c>
      <c r="J47" s="11">
        <f>IFERROR('[1]Data Sheet'!I57,0)</f>
        <v>2069</v>
      </c>
      <c r="K47" s="11">
        <f>IFERROR('[1]Data Sheet'!J57,0)</f>
        <v>2071</v>
      </c>
      <c r="L47" s="11">
        <f>IFERROR('[1]Data Sheet'!K57,0)</f>
        <v>2073</v>
      </c>
      <c r="M47" s="11">
        <f>L47</f>
        <v>2073</v>
      </c>
    </row>
    <row r="48" spans="1:13" x14ac:dyDescent="0.3">
      <c r="B48" s="19" t="s">
        <v>32</v>
      </c>
      <c r="C48" s="11">
        <f>IFERROR('[1]Data Sheet'!B58,0)</f>
        <v>60600</v>
      </c>
      <c r="D48" s="11">
        <f>IFERROR('[1]Data Sheet'!C58,0)</f>
        <v>67838</v>
      </c>
      <c r="E48" s="11">
        <f>IFERROR('[1]Data Sheet'!D58,0)</f>
        <v>63835</v>
      </c>
      <c r="F48" s="11">
        <f>IFERROR('[1]Data Sheet'!E58,0)</f>
        <v>62778</v>
      </c>
      <c r="G48" s="11">
        <f>IFERROR('[1]Data Sheet'!F58,0)</f>
        <v>63328</v>
      </c>
      <c r="H48" s="11">
        <f>IFERROR('[1]Data Sheet'!G58,0)</f>
        <v>74227</v>
      </c>
      <c r="I48" s="11">
        <f>IFERROR('[1]Data Sheet'!H58,0)</f>
        <v>73252</v>
      </c>
      <c r="J48" s="11">
        <f>IFERROR('[1]Data Sheet'!I58,0)</f>
        <v>73338</v>
      </c>
      <c r="K48" s="11">
        <f>IFERROR('[1]Data Sheet'!J58,0)</f>
        <v>86045</v>
      </c>
      <c r="L48" s="11">
        <f>IFERROR('[1]Data Sheet'!K58,0)</f>
        <v>93745</v>
      </c>
      <c r="M48" s="11">
        <f>IFERROR(L48+M33,0)</f>
        <v>121748</v>
      </c>
    </row>
    <row r="49" spans="2:14" x14ac:dyDescent="0.3">
      <c r="B49" s="19" t="s">
        <v>33</v>
      </c>
      <c r="C49" s="11">
        <f>IFERROR('[1]Data Sheet'!B59,0)</f>
        <v>0</v>
      </c>
      <c r="D49" s="11">
        <f>IFERROR('[1]Data Sheet'!C59,0)</f>
        <v>0</v>
      </c>
      <c r="E49" s="11">
        <f>IFERROR('[1]Data Sheet'!D59,0)</f>
        <v>0</v>
      </c>
      <c r="F49" s="11">
        <f>IFERROR('[1]Data Sheet'!E59,0)</f>
        <v>0</v>
      </c>
      <c r="G49" s="11">
        <f>IFERROR('[1]Data Sheet'!F59,0)</f>
        <v>4633</v>
      </c>
      <c r="H49" s="11">
        <f>IFERROR('[1]Data Sheet'!G59,0)</f>
        <v>5325</v>
      </c>
      <c r="I49" s="11">
        <f>IFERROR('[1]Data Sheet'!H59,0)</f>
        <v>5474</v>
      </c>
      <c r="J49" s="11">
        <f>IFERROR('[1]Data Sheet'!I59,0)</f>
        <v>8299</v>
      </c>
      <c r="K49" s="11">
        <f>IFERROR('[1]Data Sheet'!J59,0)</f>
        <v>8359</v>
      </c>
      <c r="L49" s="11">
        <f>IFERROR('[1]Data Sheet'!K59,0)</f>
        <v>8227</v>
      </c>
      <c r="M49" s="11">
        <f>L49</f>
        <v>8227</v>
      </c>
    </row>
    <row r="50" spans="2:14" x14ac:dyDescent="0.3">
      <c r="B50" s="19" t="s">
        <v>34</v>
      </c>
      <c r="C50" s="11">
        <f>IFERROR('[1]Data Sheet'!B60,0)</f>
        <v>13354</v>
      </c>
      <c r="D50" s="11">
        <f>IFERROR('[1]Data Sheet'!C60,0)</f>
        <v>14166</v>
      </c>
      <c r="E50" s="11">
        <f>IFERROR('[1]Data Sheet'!D60,0)</f>
        <v>14426</v>
      </c>
      <c r="F50" s="11">
        <f>IFERROR('[1]Data Sheet'!E60,0)</f>
        <v>19118</v>
      </c>
      <c r="G50" s="11">
        <f>IFERROR('[1]Data Sheet'!F60,0)</f>
        <v>21717</v>
      </c>
      <c r="H50" s="11">
        <f>IFERROR('[1]Data Sheet'!G60,0)</f>
        <v>25835</v>
      </c>
      <c r="I50" s="11">
        <f>IFERROR('[1]Data Sheet'!H60,0)</f>
        <v>35905</v>
      </c>
      <c r="J50" s="11">
        <f>IFERROR('[1]Data Sheet'!I60,0)</f>
        <v>40890</v>
      </c>
      <c r="K50" s="11">
        <f>IFERROR('[1]Data Sheet'!J60,0)</f>
        <v>40885</v>
      </c>
      <c r="L50" s="11">
        <f>IFERROR('[1]Data Sheet'!K60,0)</f>
        <v>43750</v>
      </c>
      <c r="M50" s="11">
        <f>IFERROR(L50*(1+M7),0)</f>
        <v>46483.33486716976</v>
      </c>
    </row>
    <row r="51" spans="2:14" x14ac:dyDescent="0.3">
      <c r="B51" s="14" t="s">
        <v>81</v>
      </c>
      <c r="C51" s="15">
        <f>IFERROR('[1]Data Sheet'!B61,0)</f>
        <v>75098</v>
      </c>
      <c r="D51" s="15">
        <f>IFERROR('[1]Data Sheet'!C61,0)</f>
        <v>83148</v>
      </c>
      <c r="E51" s="15">
        <f>IFERROR('[1]Data Sheet'!D61,0)</f>
        <v>79349</v>
      </c>
      <c r="F51" s="15">
        <f>IFERROR('[1]Data Sheet'!E61,0)</f>
        <v>84066</v>
      </c>
      <c r="G51" s="15">
        <f>IFERROR('[1]Data Sheet'!F61,0)</f>
        <v>91800</v>
      </c>
      <c r="H51" s="15">
        <f>IFERROR('[1]Data Sheet'!G61,0)</f>
        <v>107511</v>
      </c>
      <c r="I51" s="15">
        <f>IFERROR('[1]Data Sheet'!H61,0)</f>
        <v>116729</v>
      </c>
      <c r="J51" s="15">
        <f>IFERROR('[1]Data Sheet'!I61,0)</f>
        <v>124596</v>
      </c>
      <c r="K51" s="15">
        <f>IFERROR('[1]Data Sheet'!J61,0)</f>
        <v>137360</v>
      </c>
      <c r="L51" s="15">
        <f>IFERROR('[1]Data Sheet'!K61,0)</f>
        <v>147795</v>
      </c>
      <c r="M51" s="15">
        <f>SUM(M47:M50)</f>
        <v>178531.33486716976</v>
      </c>
    </row>
    <row r="52" spans="2:14" x14ac:dyDescent="0.3">
      <c r="B52" s="20"/>
    </row>
    <row r="53" spans="2:14" x14ac:dyDescent="0.3">
      <c r="B53" s="19" t="s">
        <v>82</v>
      </c>
      <c r="C53" s="11">
        <f>IFERROR('[1]Data Sheet'!B62,0)</f>
        <v>13386</v>
      </c>
      <c r="D53" s="11">
        <f>IFERROR('[1]Data Sheet'!C62,0)</f>
        <v>14179</v>
      </c>
      <c r="E53" s="11">
        <f>IFERROR('[1]Data Sheet'!D62,0)</f>
        <v>12574</v>
      </c>
      <c r="F53" s="11">
        <f>IFERROR('[1]Data Sheet'!E62,0)</f>
        <v>15710</v>
      </c>
      <c r="G53" s="11">
        <f>IFERROR('[1]Data Sheet'!F62,0)</f>
        <v>23789</v>
      </c>
      <c r="H53" s="11">
        <f>IFERROR('[1]Data Sheet'!G62,0)</f>
        <v>25505</v>
      </c>
      <c r="I53" s="11">
        <f>IFERROR('[1]Data Sheet'!H62,0)</f>
        <v>25800</v>
      </c>
      <c r="J53" s="11">
        <f>IFERROR('[1]Data Sheet'!I62,0)</f>
        <v>29225</v>
      </c>
      <c r="K53" s="11">
        <f>IFERROR('[1]Data Sheet'!J62,0)</f>
        <v>27622</v>
      </c>
      <c r="L53" s="11">
        <f>IFERROR('[1]Data Sheet'!K62,0)</f>
        <v>30961</v>
      </c>
    </row>
    <row r="54" spans="2:14" x14ac:dyDescent="0.3">
      <c r="B54" s="19" t="s">
        <v>37</v>
      </c>
      <c r="C54" s="11">
        <f>IFERROR('[1]Data Sheet'!B63,0)</f>
        <v>960</v>
      </c>
      <c r="D54" s="11">
        <f>IFERROR('[1]Data Sheet'!C63,0)</f>
        <v>1365</v>
      </c>
      <c r="E54" s="11">
        <f>IFERROR('[1]Data Sheet'!D63,0)</f>
        <v>1606</v>
      </c>
      <c r="F54" s="11">
        <f>IFERROR('[1]Data Sheet'!E63,0)</f>
        <v>1388</v>
      </c>
      <c r="G54" s="11">
        <f>IFERROR('[1]Data Sheet'!F63,0)</f>
        <v>954</v>
      </c>
      <c r="H54" s="11">
        <f>IFERROR('[1]Data Sheet'!G63,0)</f>
        <v>922</v>
      </c>
      <c r="I54" s="11">
        <f>IFERROR('[1]Data Sheet'!H63,0)</f>
        <v>416</v>
      </c>
      <c r="J54" s="11">
        <f>IFERROR('[1]Data Sheet'!I63,0)</f>
        <v>288</v>
      </c>
      <c r="K54" s="11">
        <f>IFERROR('[1]Data Sheet'!J63,0)</f>
        <v>293</v>
      </c>
      <c r="L54" s="11">
        <f>IFERROR('[1]Data Sheet'!K63,0)</f>
        <v>814</v>
      </c>
    </row>
    <row r="55" spans="2:14" x14ac:dyDescent="0.3">
      <c r="B55" s="19" t="s">
        <v>38</v>
      </c>
      <c r="C55" s="11">
        <f>IFERROR('[1]Data Sheet'!B64,0)</f>
        <v>1892</v>
      </c>
      <c r="D55" s="11">
        <f>IFERROR('[1]Data Sheet'!C64,0)</f>
        <v>16423</v>
      </c>
      <c r="E55" s="11">
        <f>IFERROR('[1]Data Sheet'!D64,0)</f>
        <v>12163</v>
      </c>
      <c r="F55" s="11">
        <f>IFERROR('[1]Data Sheet'!E64,0)</f>
        <v>11261</v>
      </c>
      <c r="G55" s="11">
        <f>IFERROR('[1]Data Sheet'!F64,0)</f>
        <v>8792</v>
      </c>
      <c r="H55" s="11">
        <f>IFERROR('[1]Data Sheet'!G64,0)</f>
        <v>14205</v>
      </c>
      <c r="I55" s="11">
        <f>IFERROR('[1]Data Sheet'!H64,0)</f>
        <v>20324</v>
      </c>
      <c r="J55" s="11">
        <f>IFERROR('[1]Data Sheet'!I64,0)</f>
        <v>19478</v>
      </c>
      <c r="K55" s="11">
        <f>IFERROR('[1]Data Sheet'!J64,0)</f>
        <v>24623</v>
      </c>
      <c r="L55" s="11">
        <f>IFERROR('[1]Data Sheet'!K64,0)</f>
        <v>23541</v>
      </c>
    </row>
    <row r="56" spans="2:14" x14ac:dyDescent="0.3">
      <c r="B56" s="19" t="s">
        <v>39</v>
      </c>
      <c r="C56" s="11">
        <f>IFERROR('[1]Data Sheet'!B65-SUM('[1]Data Sheet'!B67:B69),0)</f>
        <v>14833</v>
      </c>
      <c r="D56" s="11">
        <f>IFERROR('[1]Data Sheet'!C65-SUM('[1]Data Sheet'!C67:C69),0)</f>
        <v>16234</v>
      </c>
      <c r="E56" s="11">
        <f>IFERROR('[1]Data Sheet'!D65-SUM('[1]Data Sheet'!D67:D69),0)</f>
        <v>20046</v>
      </c>
      <c r="F56" s="11">
        <f>IFERROR('[1]Data Sheet'!E65-SUM('[1]Data Sheet'!E67:E69),0)</f>
        <v>21312</v>
      </c>
      <c r="G56" s="11">
        <f>IFERROR('[1]Data Sheet'!F65-SUM('[1]Data Sheet'!F67:F69),0)</f>
        <v>21129</v>
      </c>
      <c r="H56" s="11">
        <f>IFERROR('[1]Data Sheet'!G65-SUM('[1]Data Sheet'!G67:G69),0)</f>
        <v>22871</v>
      </c>
      <c r="I56" s="11">
        <f>IFERROR('[1]Data Sheet'!H65-SUM('[1]Data Sheet'!H67:H69),0)</f>
        <v>30019</v>
      </c>
      <c r="J56" s="11">
        <f>IFERROR('[1]Data Sheet'!I65-SUM('[1]Data Sheet'!I67:I69),0)</f>
        <v>38008</v>
      </c>
      <c r="K56" s="11">
        <f>IFERROR('[1]Data Sheet'!J65-SUM('[1]Data Sheet'!J67:J69),0)</f>
        <v>39843</v>
      </c>
      <c r="L56" s="11">
        <f>IFERROR('[1]Data Sheet'!K65-SUM('[1]Data Sheet'!K67:K69),0)</f>
        <v>36866</v>
      </c>
      <c r="N56" s="11"/>
    </row>
    <row r="57" spans="2:14" x14ac:dyDescent="0.3">
      <c r="B57" s="14" t="s">
        <v>83</v>
      </c>
      <c r="C57" s="15">
        <f>SUM(C53:C56)</f>
        <v>31071</v>
      </c>
      <c r="D57" s="15">
        <f t="shared" ref="D57:K57" si="18">SUM(D53:D56)</f>
        <v>48201</v>
      </c>
      <c r="E57" s="15">
        <f t="shared" si="18"/>
        <v>46389</v>
      </c>
      <c r="F57" s="15">
        <f t="shared" si="18"/>
        <v>49671</v>
      </c>
      <c r="G57" s="15">
        <f t="shared" si="18"/>
        <v>54664</v>
      </c>
      <c r="H57" s="15">
        <f t="shared" si="18"/>
        <v>63503</v>
      </c>
      <c r="I57" s="15">
        <f t="shared" si="18"/>
        <v>76559</v>
      </c>
      <c r="J57" s="15">
        <f t="shared" si="18"/>
        <v>86999</v>
      </c>
      <c r="K57" s="15">
        <f t="shared" si="18"/>
        <v>92381</v>
      </c>
      <c r="L57" s="15">
        <f>SUM(L53:L56)</f>
        <v>92182</v>
      </c>
      <c r="M57" s="15"/>
    </row>
    <row r="58" spans="2:14" x14ac:dyDescent="0.3">
      <c r="B58" s="20"/>
    </row>
    <row r="59" spans="2:14" x14ac:dyDescent="0.3">
      <c r="B59" s="19" t="s">
        <v>40</v>
      </c>
      <c r="C59" s="11">
        <f>IFERROR('[1]Data Sheet'!B67,0)</f>
        <v>11330</v>
      </c>
      <c r="D59" s="11">
        <f>IFERROR('[1]Data Sheet'!C67,0)</f>
        <v>12322</v>
      </c>
      <c r="E59" s="11">
        <f>IFERROR('[1]Data Sheet'!D67,0)</f>
        <v>13142</v>
      </c>
      <c r="F59" s="11">
        <f>IFERROR('[1]Data Sheet'!E67,0)</f>
        <v>14827</v>
      </c>
      <c r="G59" s="11">
        <f>IFERROR('[1]Data Sheet'!F67,0)</f>
        <v>18487</v>
      </c>
      <c r="H59" s="11">
        <f>IFERROR('[1]Data Sheet'!G67,0)</f>
        <v>19294</v>
      </c>
      <c r="I59" s="11">
        <f>IFERROR('[1]Data Sheet'!H67,0)</f>
        <v>22698</v>
      </c>
      <c r="J59" s="11">
        <f>IFERROR('[1]Data Sheet'!I67,0)</f>
        <v>25424</v>
      </c>
      <c r="K59" s="11">
        <f>IFERROR('[1]Data Sheet'!J67,0)</f>
        <v>30193</v>
      </c>
      <c r="L59" s="11">
        <f>IFERROR('[1]Data Sheet'!K67,0)</f>
        <v>31158</v>
      </c>
      <c r="N59" s="11"/>
    </row>
    <row r="60" spans="2:14" x14ac:dyDescent="0.3">
      <c r="B60" s="19" t="s">
        <v>41</v>
      </c>
      <c r="C60" s="11">
        <f>IFERROR('[1]Data Sheet'!B68,0)</f>
        <v>0</v>
      </c>
      <c r="D60" s="11">
        <f>IFERROR('[1]Data Sheet'!C68,0)</f>
        <v>0</v>
      </c>
      <c r="E60" s="11">
        <f>IFERROR('[1]Data Sheet'!D68,0)</f>
        <v>0</v>
      </c>
      <c r="F60" s="11">
        <f>IFERROR('[1]Data Sheet'!E68,0)</f>
        <v>0</v>
      </c>
      <c r="G60" s="11">
        <f>IFERROR('[1]Data Sheet'!F68,0)</f>
        <v>0</v>
      </c>
      <c r="H60" s="11">
        <f>IFERROR('[1]Data Sheet'!G68,0)</f>
        <v>0</v>
      </c>
      <c r="I60" s="11">
        <f>IFERROR('[1]Data Sheet'!H68,0)</f>
        <v>0</v>
      </c>
      <c r="J60" s="11">
        <f>IFERROR('[1]Data Sheet'!I68,0)</f>
        <v>0</v>
      </c>
      <c r="K60" s="11">
        <f>IFERROR('[1]Data Sheet'!J68,0)</f>
        <v>0</v>
      </c>
      <c r="L60" s="11">
        <f>IFERROR('[1]Data Sheet'!K68,0)</f>
        <v>0</v>
      </c>
      <c r="N60" s="11"/>
    </row>
    <row r="61" spans="2:14" x14ac:dyDescent="0.3">
      <c r="B61" s="19" t="s">
        <v>42</v>
      </c>
      <c r="C61" s="11">
        <f>IFERROR('[1]Data Sheet'!B69,0)</f>
        <v>32697</v>
      </c>
      <c r="D61" s="11">
        <f>IFERROR('[1]Data Sheet'!C69,0)</f>
        <v>22625</v>
      </c>
      <c r="E61" s="11">
        <f>IFERROR('[1]Data Sheet'!D69,0)</f>
        <v>19818</v>
      </c>
      <c r="F61" s="11">
        <f>IFERROR('[1]Data Sheet'!E69,0)</f>
        <v>19568</v>
      </c>
      <c r="G61" s="11">
        <f>IFERROR('[1]Data Sheet'!F69,0)</f>
        <v>18649</v>
      </c>
      <c r="H61" s="11">
        <f>IFERROR('[1]Data Sheet'!G69,0)</f>
        <v>24714</v>
      </c>
      <c r="I61" s="11">
        <f>IFERROR('[1]Data Sheet'!H69,0)</f>
        <v>17472</v>
      </c>
      <c r="J61" s="11">
        <f>IFERROR('[1]Data Sheet'!I69,0)</f>
        <v>12173</v>
      </c>
      <c r="K61" s="11">
        <f>IFERROR('[1]Data Sheet'!J69,0)</f>
        <v>14786</v>
      </c>
      <c r="L61" s="11">
        <f>IFERROR('[1]Data Sheet'!K69,0)</f>
        <v>24455</v>
      </c>
    </row>
    <row r="62" spans="2:14" x14ac:dyDescent="0.3">
      <c r="B62" s="14" t="s">
        <v>84</v>
      </c>
      <c r="C62" s="15">
        <f>SUM(C59:C61)</f>
        <v>44027</v>
      </c>
      <c r="D62" s="15">
        <f t="shared" ref="D62:K62" si="19">SUM(D59:D61)</f>
        <v>34947</v>
      </c>
      <c r="E62" s="15">
        <f t="shared" si="19"/>
        <v>32960</v>
      </c>
      <c r="F62" s="15">
        <f t="shared" si="19"/>
        <v>34395</v>
      </c>
      <c r="G62" s="15">
        <f t="shared" si="19"/>
        <v>37136</v>
      </c>
      <c r="H62" s="15">
        <f t="shared" si="19"/>
        <v>44008</v>
      </c>
      <c r="I62" s="15">
        <f t="shared" si="19"/>
        <v>40170</v>
      </c>
      <c r="J62" s="15">
        <f t="shared" si="19"/>
        <v>37597</v>
      </c>
      <c r="K62" s="15">
        <f t="shared" si="19"/>
        <v>44979</v>
      </c>
      <c r="L62" s="15">
        <f>SUM(L59:L61)</f>
        <v>55613</v>
      </c>
      <c r="M62" s="15"/>
    </row>
    <row r="63" spans="2:14" x14ac:dyDescent="0.3">
      <c r="B63" s="21"/>
      <c r="C63" s="22"/>
      <c r="D63" s="22"/>
      <c r="E63" s="22"/>
      <c r="F63" s="22"/>
      <c r="G63" s="22"/>
      <c r="H63" s="22"/>
      <c r="I63" s="22"/>
      <c r="J63" s="22"/>
      <c r="K63" s="22"/>
      <c r="L63" s="22"/>
    </row>
    <row r="64" spans="2:14" x14ac:dyDescent="0.3">
      <c r="B64" s="14" t="s">
        <v>85</v>
      </c>
      <c r="C64" s="15">
        <f>SUM(C57+C62)</f>
        <v>75098</v>
      </c>
      <c r="D64" s="15">
        <f t="shared" ref="D64:K64" si="20">SUM(D57+D62)</f>
        <v>83148</v>
      </c>
      <c r="E64" s="15">
        <f t="shared" si="20"/>
        <v>79349</v>
      </c>
      <c r="F64" s="15">
        <f t="shared" si="20"/>
        <v>84066</v>
      </c>
      <c r="G64" s="15">
        <f t="shared" si="20"/>
        <v>91800</v>
      </c>
      <c r="H64" s="15">
        <f t="shared" si="20"/>
        <v>107511</v>
      </c>
      <c r="I64" s="15">
        <f t="shared" si="20"/>
        <v>116729</v>
      </c>
      <c r="J64" s="15">
        <f t="shared" si="20"/>
        <v>124596</v>
      </c>
      <c r="K64" s="15">
        <f t="shared" si="20"/>
        <v>137360</v>
      </c>
      <c r="L64" s="15">
        <f>SUM(L57+L62)</f>
        <v>147795</v>
      </c>
      <c r="M64" s="15"/>
    </row>
    <row r="66" spans="1:13" x14ac:dyDescent="0.3">
      <c r="B66" t="s">
        <v>86</v>
      </c>
      <c r="C66" t="b">
        <f>C64=C51</f>
        <v>1</v>
      </c>
      <c r="D66" t="b">
        <f t="shared" ref="D66:K66" si="21">D64=D51</f>
        <v>1</v>
      </c>
      <c r="E66" t="b">
        <f t="shared" si="21"/>
        <v>1</v>
      </c>
      <c r="F66" t="b">
        <f t="shared" si="21"/>
        <v>1</v>
      </c>
      <c r="G66" t="b">
        <f t="shared" si="21"/>
        <v>1</v>
      </c>
      <c r="H66" t="b">
        <f t="shared" si="21"/>
        <v>1</v>
      </c>
      <c r="I66" t="b">
        <f t="shared" si="21"/>
        <v>1</v>
      </c>
      <c r="J66" t="b">
        <f t="shared" si="21"/>
        <v>1</v>
      </c>
      <c r="K66" t="b">
        <f t="shared" si="21"/>
        <v>1</v>
      </c>
      <c r="L66" t="s">
        <v>87</v>
      </c>
    </row>
    <row r="68" spans="1:13" x14ac:dyDescent="0.3">
      <c r="A68" s="10" t="s">
        <v>56</v>
      </c>
      <c r="B68" s="30" t="s">
        <v>88</v>
      </c>
      <c r="C68" s="31"/>
      <c r="D68" s="32"/>
      <c r="E68" s="32"/>
      <c r="F68" s="32"/>
      <c r="G68" s="32"/>
      <c r="H68" s="32"/>
      <c r="I68" s="32"/>
      <c r="J68" s="32"/>
      <c r="K68" s="32"/>
      <c r="L68" s="32"/>
      <c r="M68" s="32"/>
    </row>
    <row r="69" spans="1:13" x14ac:dyDescent="0.3">
      <c r="B69" s="23" t="s">
        <v>89</v>
      </c>
    </row>
    <row r="70" spans="1:13" x14ac:dyDescent="0.3">
      <c r="B70" t="s">
        <v>90</v>
      </c>
      <c r="C70" s="11">
        <f>IFERROR('[1]Cashflow Data'!C3,0)</f>
        <v>17839</v>
      </c>
      <c r="D70" s="11">
        <f>IFERROR('[1]Cashflow Data'!D3,0)</f>
        <v>19340</v>
      </c>
      <c r="E70" s="11">
        <f>IFERROR('[1]Cashflow Data'!E3,0)</f>
        <v>19963</v>
      </c>
      <c r="F70" s="11">
        <f>IFERROR('[1]Cashflow Data'!F3,0)</f>
        <v>22126</v>
      </c>
      <c r="G70" s="11">
        <f>IFERROR('[1]Cashflow Data'!G3,0)</f>
        <v>23920</v>
      </c>
      <c r="H70" s="11">
        <f>IFERROR('[1]Cashflow Data'!H3,0)</f>
        <v>28845</v>
      </c>
      <c r="I70" s="11">
        <f>IFERROR('[1]Cashflow Data'!I3,0)</f>
        <v>32921</v>
      </c>
      <c r="J70" s="11">
        <f>IFERROR('[1]Cashflow Data'!J3,0)</f>
        <v>37605</v>
      </c>
      <c r="K70" s="11">
        <f>IFERROR('[1]Cashflow Data'!K3,0)</f>
        <v>39523</v>
      </c>
      <c r="L70" s="11">
        <f>IFERROR('[1]Cashflow Data'!L3,0)</f>
        <v>41591</v>
      </c>
    </row>
    <row r="71" spans="1:13" x14ac:dyDescent="0.3">
      <c r="B71" t="s">
        <v>40</v>
      </c>
      <c r="C71" s="11">
        <f>IFERROR('[1]Cashflow Data'!C4,0)</f>
        <v>-1654</v>
      </c>
      <c r="D71" s="11">
        <f>IFERROR('[1]Cashflow Data'!D4,0)</f>
        <v>-1743</v>
      </c>
      <c r="E71" s="11">
        <f>IFERROR('[1]Cashflow Data'!E4,0)</f>
        <v>-1523</v>
      </c>
      <c r="F71" s="11">
        <f>IFERROR('[1]Cashflow Data'!F4,0)</f>
        <v>-2881</v>
      </c>
      <c r="G71" s="11">
        <f>IFERROR('[1]Cashflow Data'!G4,0)</f>
        <v>-3861</v>
      </c>
      <c r="H71" s="11">
        <f>IFERROR('[1]Cashflow Data'!H4,0)</f>
        <v>-1835</v>
      </c>
      <c r="I71" s="11">
        <f>IFERROR('[1]Cashflow Data'!I4,0)</f>
        <v>-7937</v>
      </c>
      <c r="J71" s="11">
        <f>IFERROR('[1]Cashflow Data'!J4,0)</f>
        <v>-7076</v>
      </c>
      <c r="K71" s="11">
        <f>IFERROR('[1]Cashflow Data'!K4,0)</f>
        <v>-2667</v>
      </c>
      <c r="L71" s="11">
        <f>IFERROR('[1]Cashflow Data'!L4,0)</f>
        <v>-1769</v>
      </c>
    </row>
    <row r="72" spans="1:13" x14ac:dyDescent="0.3">
      <c r="B72" t="s">
        <v>41</v>
      </c>
      <c r="C72" s="11">
        <f>IFERROR('[1]Cashflow Data'!C5,0)</f>
        <v>242</v>
      </c>
      <c r="D72" s="11">
        <f>IFERROR('[1]Cashflow Data'!D5,0)</f>
        <v>-19</v>
      </c>
      <c r="E72" s="11">
        <f>IFERROR('[1]Cashflow Data'!E5,0)</f>
        <v>328</v>
      </c>
      <c r="F72" s="11">
        <f>IFERROR('[1]Cashflow Data'!F5,0)</f>
        <v>916</v>
      </c>
      <c r="G72" s="11">
        <f>IFERROR('[1]Cashflow Data'!G5,0)</f>
        <v>-373</v>
      </c>
      <c r="H72" s="11">
        <f>IFERROR('[1]Cashflow Data'!H5,0)</f>
        <v>-245</v>
      </c>
      <c r="I72" s="11">
        <f>IFERROR('[1]Cashflow Data'!I5,0)</f>
        <v>1489</v>
      </c>
      <c r="J72" s="11">
        <f>IFERROR('[1]Cashflow Data'!J5,0)</f>
        <v>-279</v>
      </c>
      <c r="K72" s="11">
        <f>IFERROR('[1]Cashflow Data'!K5,0)</f>
        <v>91</v>
      </c>
      <c r="L72" s="11">
        <f>IFERROR('[1]Cashflow Data'!L5,0)</f>
        <v>176</v>
      </c>
    </row>
    <row r="73" spans="1:13" x14ac:dyDescent="0.3">
      <c r="B73" t="s">
        <v>91</v>
      </c>
      <c r="C73" s="11">
        <f>IFERROR('[1]Cashflow Data'!C6,0)</f>
        <v>-1134</v>
      </c>
      <c r="D73" s="11">
        <f>IFERROR('[1]Cashflow Data'!D6,0)</f>
        <v>0</v>
      </c>
      <c r="E73" s="11">
        <f>IFERROR('[1]Cashflow Data'!E6,0)</f>
        <v>0</v>
      </c>
      <c r="F73" s="11">
        <f>IFERROR('[1]Cashflow Data'!F6,0)</f>
        <v>0</v>
      </c>
      <c r="G73" s="11">
        <f>IFERROR('[1]Cashflow Data'!G6,0)</f>
        <v>0</v>
      </c>
      <c r="H73" s="11">
        <f>IFERROR('[1]Cashflow Data'!H6,0)</f>
        <v>-534</v>
      </c>
      <c r="I73" s="11">
        <f>IFERROR('[1]Cashflow Data'!I6,0)</f>
        <v>-1914</v>
      </c>
      <c r="J73" s="11">
        <f>IFERROR('[1]Cashflow Data'!J6,0)</f>
        <v>-3108</v>
      </c>
      <c r="K73" s="11">
        <f>IFERROR('[1]Cashflow Data'!K6,0)</f>
        <v>-1172</v>
      </c>
      <c r="L73" s="11">
        <f>IFERROR('[1]Cashflow Data'!L6,0)</f>
        <v>-1024</v>
      </c>
    </row>
    <row r="74" spans="1:13" x14ac:dyDescent="0.3">
      <c r="B74" t="s">
        <v>92</v>
      </c>
      <c r="C74" s="11">
        <f>IFERROR('[1]Cashflow Data'!C7,0)</f>
        <v>600</v>
      </c>
      <c r="D74" s="11">
        <f>IFERROR('[1]Cashflow Data'!D7,0)</f>
        <v>-394</v>
      </c>
      <c r="E74" s="11">
        <f>IFERROR('[1]Cashflow Data'!E7,0)</f>
        <v>1279</v>
      </c>
      <c r="F74" s="11">
        <f>IFERROR('[1]Cashflow Data'!F7,0)</f>
        <v>1512</v>
      </c>
      <c r="G74" s="11">
        <f>IFERROR('[1]Cashflow Data'!G7,0)</f>
        <v>1867</v>
      </c>
      <c r="H74" s="11">
        <f>IFERROR('[1]Cashflow Data'!H7,0)</f>
        <v>3382</v>
      </c>
      <c r="I74" s="11">
        <f>IFERROR('[1]Cashflow Data'!I7,0)</f>
        <v>6938</v>
      </c>
      <c r="J74" s="11">
        <f>IFERROR('[1]Cashflow Data'!J7,0)</f>
        <v>4119</v>
      </c>
      <c r="K74" s="11">
        <f>IFERROR('[1]Cashflow Data'!K7,0)</f>
        <v>-1334</v>
      </c>
      <c r="L74" s="11">
        <f>IFERROR('[1]Cashflow Data'!L7,0)</f>
        <v>2322</v>
      </c>
    </row>
    <row r="75" spans="1:13" x14ac:dyDescent="0.3">
      <c r="B75" t="s">
        <v>93</v>
      </c>
      <c r="C75" s="11">
        <f>IFERROR('[1]Cashflow Data'!C8,0)</f>
        <v>-1946</v>
      </c>
      <c r="D75" s="11">
        <f>IFERROR('[1]Cashflow Data'!D8,0)</f>
        <v>-2156</v>
      </c>
      <c r="E75" s="11">
        <f>IFERROR('[1]Cashflow Data'!E8,0)</f>
        <v>84</v>
      </c>
      <c r="F75" s="11">
        <f>IFERROR('[1]Cashflow Data'!F8,0)</f>
        <v>-453</v>
      </c>
      <c r="G75" s="11">
        <f>IFERROR('[1]Cashflow Data'!G8,0)</f>
        <v>-2367</v>
      </c>
      <c r="H75" s="11">
        <f>IFERROR('[1]Cashflow Data'!H8,0)</f>
        <v>768</v>
      </c>
      <c r="I75" s="11">
        <f>IFERROR('[1]Cashflow Data'!I8,0)</f>
        <v>-1424</v>
      </c>
      <c r="J75" s="11">
        <f>IFERROR('[1]Cashflow Data'!J8,0)</f>
        <v>-6344</v>
      </c>
      <c r="K75" s="11">
        <f>IFERROR('[1]Cashflow Data'!K8,0)</f>
        <v>-5082</v>
      </c>
      <c r="L75" s="11">
        <f>IFERROR('[1]Cashflow Data'!L8,0)</f>
        <v>-295</v>
      </c>
    </row>
    <row r="76" spans="1:13" x14ac:dyDescent="0.3">
      <c r="B76" t="s">
        <v>94</v>
      </c>
      <c r="C76" s="11">
        <f>IFERROR('[1]Cashflow Data'!C9,0)</f>
        <v>-5865</v>
      </c>
      <c r="D76" s="11">
        <f>IFERROR('[1]Cashflow Data'!D9,0)</f>
        <v>-5653</v>
      </c>
      <c r="E76" s="11">
        <f>IFERROR('[1]Cashflow Data'!E9,0)</f>
        <v>-6829</v>
      </c>
      <c r="F76" s="11">
        <f>IFERROR('[1]Cashflow Data'!F9,0)</f>
        <v>-6832</v>
      </c>
      <c r="G76" s="11">
        <f>IFERROR('[1]Cashflow Data'!G9,0)</f>
        <v>-4550</v>
      </c>
      <c r="H76" s="11">
        <f>IFERROR('[1]Cashflow Data'!H9,0)</f>
        <v>-6389</v>
      </c>
      <c r="I76" s="11">
        <f>IFERROR('[1]Cashflow Data'!I9,0)</f>
        <v>-7612</v>
      </c>
      <c r="J76" s="11">
        <f>IFERROR('[1]Cashflow Data'!J9,0)</f>
        <v>-8794</v>
      </c>
      <c r="K76" s="11">
        <f>IFERROR('[1]Cashflow Data'!K9,0)</f>
        <v>-9231</v>
      </c>
      <c r="L76" s="11">
        <f>IFERROR('[1]Cashflow Data'!L9,0)</f>
        <v>-5602</v>
      </c>
    </row>
    <row r="77" spans="1:13" x14ac:dyDescent="0.3">
      <c r="B77" t="s">
        <v>95</v>
      </c>
      <c r="C77" s="11">
        <f>IFERROR('[1]Cashflow Data'!C10,0)</f>
        <v>-885</v>
      </c>
      <c r="D77" s="11">
        <f>IFERROR('[1]Cashflow Data'!D10,0)</f>
        <v>-14664</v>
      </c>
      <c r="E77" s="11">
        <f>IFERROR('[1]Cashflow Data'!E10,0)</f>
        <v>4533</v>
      </c>
      <c r="F77" s="11">
        <f>IFERROR('[1]Cashflow Data'!F10,0)</f>
        <v>-632</v>
      </c>
      <c r="G77" s="11">
        <f>IFERROR('[1]Cashflow Data'!G10,0)</f>
        <v>-331</v>
      </c>
      <c r="H77" s="11">
        <f>IFERROR('[1]Cashflow Data'!H10,0)</f>
        <v>-7373</v>
      </c>
      <c r="I77" s="11">
        <f>IFERROR('[1]Cashflow Data'!I10,0)</f>
        <v>-6485</v>
      </c>
      <c r="J77" s="11">
        <f>IFERROR('[1]Cashflow Data'!J10,0)</f>
        <v>-1071</v>
      </c>
      <c r="K77" s="11">
        <f>IFERROR('[1]Cashflow Data'!K10,0)</f>
        <v>-5093</v>
      </c>
      <c r="L77" s="11">
        <f>IFERROR('[1]Cashflow Data'!L10,0)</f>
        <v>-1864</v>
      </c>
    </row>
    <row r="78" spans="1:13" x14ac:dyDescent="0.3">
      <c r="B78" s="23" t="s">
        <v>96</v>
      </c>
      <c r="C78" s="24">
        <f>SUM(C70:C77)</f>
        <v>7197</v>
      </c>
      <c r="D78" s="24">
        <f t="shared" ref="D78:L78" si="22">SUM(D70:D77)</f>
        <v>-5289</v>
      </c>
      <c r="E78" s="24">
        <f t="shared" si="22"/>
        <v>17835</v>
      </c>
      <c r="F78" s="24">
        <f t="shared" si="22"/>
        <v>13756</v>
      </c>
      <c r="G78" s="24">
        <f t="shared" si="22"/>
        <v>14305</v>
      </c>
      <c r="H78" s="24">
        <f t="shared" si="22"/>
        <v>16619</v>
      </c>
      <c r="I78" s="24">
        <f t="shared" si="22"/>
        <v>15976</v>
      </c>
      <c r="J78" s="24">
        <f t="shared" si="22"/>
        <v>15052</v>
      </c>
      <c r="K78" s="24">
        <f t="shared" si="22"/>
        <v>15035</v>
      </c>
      <c r="L78" s="24">
        <f t="shared" si="22"/>
        <v>33535</v>
      </c>
    </row>
    <row r="80" spans="1:13" x14ac:dyDescent="0.3">
      <c r="B80" s="23" t="s">
        <v>97</v>
      </c>
    </row>
    <row r="81" spans="2:12" x14ac:dyDescent="0.3">
      <c r="B81" t="s">
        <v>98</v>
      </c>
      <c r="C81" s="11">
        <f>IFERROR('[1]Cashflow Data'!C11,0)</f>
        <v>-2723</v>
      </c>
      <c r="D81" s="11">
        <f>IFERROR('[1]Cashflow Data'!D11,0)</f>
        <v>-2760</v>
      </c>
      <c r="E81" s="11">
        <f>IFERROR('[1]Cashflow Data'!E11,0)</f>
        <v>-1998</v>
      </c>
      <c r="F81" s="11">
        <f>IFERROR('[1]Cashflow Data'!F11,0)</f>
        <v>-2445</v>
      </c>
      <c r="G81" s="11">
        <f>IFERROR('[1]Cashflow Data'!G11,0)</f>
        <v>-3307</v>
      </c>
      <c r="H81" s="11">
        <f>IFERROR('[1]Cashflow Data'!H11,0)</f>
        <v>-2107</v>
      </c>
      <c r="I81" s="11">
        <f>IFERROR('[1]Cashflow Data'!I11,0)</f>
        <v>-2161</v>
      </c>
      <c r="J81" s="11">
        <f>IFERROR('[1]Cashflow Data'!J11,0)</f>
        <v>-2579</v>
      </c>
      <c r="K81" s="11">
        <f>IFERROR('[1]Cashflow Data'!K11,0)</f>
        <v>-2201</v>
      </c>
      <c r="L81" s="11">
        <f>IFERROR('[1]Cashflow Data'!L11,0)</f>
        <v>-2237</v>
      </c>
    </row>
    <row r="82" spans="2:12" x14ac:dyDescent="0.3">
      <c r="B82" t="s">
        <v>99</v>
      </c>
      <c r="C82" s="11">
        <f>IFERROR('[1]Cashflow Data'!C12,0)</f>
        <v>0</v>
      </c>
      <c r="D82" s="11">
        <f>IFERROR('[1]Cashflow Data'!D12,0)</f>
        <v>0</v>
      </c>
      <c r="E82" s="11">
        <f>IFERROR('[1]Cashflow Data'!E12,0)</f>
        <v>0</v>
      </c>
      <c r="F82" s="11">
        <f>IFERROR('[1]Cashflow Data'!F12,0)</f>
        <v>0</v>
      </c>
      <c r="G82" s="11">
        <f>IFERROR('[1]Cashflow Data'!G12,0)</f>
        <v>0</v>
      </c>
      <c r="H82" s="11">
        <f>IFERROR('[1]Cashflow Data'!H12,0)</f>
        <v>0</v>
      </c>
      <c r="I82" s="11">
        <f>IFERROR('[1]Cashflow Data'!I12,0)</f>
        <v>0</v>
      </c>
      <c r="J82" s="11">
        <f>IFERROR('[1]Cashflow Data'!J12,0)</f>
        <v>0</v>
      </c>
      <c r="K82" s="11">
        <f>IFERROR('[1]Cashflow Data'!K12,0)</f>
        <v>0</v>
      </c>
      <c r="L82" s="11">
        <f>IFERROR('[1]Cashflow Data'!L12,0)</f>
        <v>0</v>
      </c>
    </row>
    <row r="83" spans="2:12" x14ac:dyDescent="0.3">
      <c r="B83" t="s">
        <v>100</v>
      </c>
      <c r="C83" s="11">
        <f>IFERROR('[1]Cashflow Data'!C13,0)</f>
        <v>-24577</v>
      </c>
      <c r="D83" s="11">
        <f>IFERROR('[1]Cashflow Data'!D13,0)</f>
        <v>-66410</v>
      </c>
      <c r="E83" s="11">
        <f>IFERROR('[1]Cashflow Data'!E13,0)</f>
        <v>-69159</v>
      </c>
      <c r="F83" s="11">
        <f>IFERROR('[1]Cashflow Data'!F13,0)</f>
        <v>-79410</v>
      </c>
      <c r="G83" s="11">
        <f>IFERROR('[1]Cashflow Data'!G13,0)</f>
        <v>-37482</v>
      </c>
      <c r="H83" s="11">
        <f>IFERROR('[1]Cashflow Data'!H13,0)</f>
        <v>-46738</v>
      </c>
      <c r="I83" s="11">
        <f>IFERROR('[1]Cashflow Data'!I13,0)</f>
        <v>-59951</v>
      </c>
      <c r="J83" s="11">
        <f>IFERROR('[1]Cashflow Data'!J13,0)</f>
        <v>-75800</v>
      </c>
      <c r="K83" s="11">
        <f>IFERROR('[1]Cashflow Data'!K13,0)</f>
        <v>-78118</v>
      </c>
      <c r="L83" s="11">
        <f>IFERROR('[1]Cashflow Data'!L13,0)</f>
        <v>-82753</v>
      </c>
    </row>
    <row r="84" spans="2:12" x14ac:dyDescent="0.3">
      <c r="B84" t="s">
        <v>101</v>
      </c>
      <c r="C84" s="11">
        <f>IFERROR('[1]Cashflow Data'!C14,0)</f>
        <v>24980</v>
      </c>
      <c r="D84" s="11">
        <f>IFERROR('[1]Cashflow Data'!D14,0)</f>
        <v>52048</v>
      </c>
      <c r="E84" s="11">
        <f>IFERROR('[1]Cashflow Data'!E14,0)</f>
        <v>74003</v>
      </c>
      <c r="F84" s="11">
        <f>IFERROR('[1]Cashflow Data'!F14,0)</f>
        <v>78098</v>
      </c>
      <c r="G84" s="11">
        <f>IFERROR('[1]Cashflow Data'!G14,0)</f>
        <v>38861</v>
      </c>
      <c r="H84" s="11">
        <f>IFERROR('[1]Cashflow Data'!H14,0)</f>
        <v>40381</v>
      </c>
      <c r="I84" s="11">
        <f>IFERROR('[1]Cashflow Data'!I14,0)</f>
        <v>57356</v>
      </c>
      <c r="J84" s="11">
        <f>IFERROR('[1]Cashflow Data'!J14,0)</f>
        <v>76722</v>
      </c>
      <c r="K84" s="11">
        <f>IFERROR('[1]Cashflow Data'!K14,0)</f>
        <v>72956</v>
      </c>
      <c r="L84" s="11">
        <f>IFERROR('[1]Cashflow Data'!L14,0)</f>
        <v>84888</v>
      </c>
    </row>
    <row r="85" spans="2:12" x14ac:dyDescent="0.3">
      <c r="B85" t="s">
        <v>102</v>
      </c>
      <c r="C85" s="11">
        <f>IFERROR('[1]Cashflow Data'!C15,0)</f>
        <v>2383</v>
      </c>
      <c r="D85" s="11">
        <f>IFERROR('[1]Cashflow Data'!D15,0)</f>
        <v>0</v>
      </c>
      <c r="E85" s="11">
        <f>IFERROR('[1]Cashflow Data'!E15,0)</f>
        <v>0</v>
      </c>
      <c r="F85" s="11">
        <f>IFERROR('[1]Cashflow Data'!F15,0)</f>
        <v>0</v>
      </c>
      <c r="G85" s="11">
        <f>IFERROR('[1]Cashflow Data'!G15,0)</f>
        <v>0</v>
      </c>
      <c r="H85" s="11">
        <f>IFERROR('[1]Cashflow Data'!H15,0)</f>
        <v>0</v>
      </c>
      <c r="I85" s="11">
        <f>IFERROR('[1]Cashflow Data'!I15,0)</f>
        <v>0</v>
      </c>
      <c r="J85" s="11">
        <f>IFERROR('[1]Cashflow Data'!J15,0)</f>
        <v>0</v>
      </c>
      <c r="K85" s="11">
        <f>IFERROR('[1]Cashflow Data'!K15,0)</f>
        <v>0</v>
      </c>
      <c r="L85" s="11">
        <f>IFERROR('[1]Cashflow Data'!L15,0)</f>
        <v>0</v>
      </c>
    </row>
    <row r="86" spans="2:12" x14ac:dyDescent="0.3">
      <c r="B86" t="s">
        <v>103</v>
      </c>
      <c r="C86" s="11">
        <f>IFERROR('[1]Cashflow Data'!C16,0)</f>
        <v>0</v>
      </c>
      <c r="D86" s="11">
        <f>IFERROR('[1]Cashflow Data'!D16,0)</f>
        <v>2753</v>
      </c>
      <c r="E86" s="11">
        <f>IFERROR('[1]Cashflow Data'!E16,0)</f>
        <v>1768</v>
      </c>
      <c r="F86" s="11">
        <f>IFERROR('[1]Cashflow Data'!F16,0)</f>
        <v>1557</v>
      </c>
      <c r="G86" s="11">
        <f>IFERROR('[1]Cashflow Data'!G16,0)</f>
        <v>1929</v>
      </c>
      <c r="H86" s="11">
        <f>IFERROR('[1]Cashflow Data'!H16,0)</f>
        <v>1418</v>
      </c>
      <c r="I86" s="11">
        <f>IFERROR('[1]Cashflow Data'!I16,0)</f>
        <v>1898</v>
      </c>
      <c r="J86" s="11">
        <f>IFERROR('[1]Cashflow Data'!J16,0)</f>
        <v>1525</v>
      </c>
      <c r="K86" s="11">
        <f>IFERROR('[1]Cashflow Data'!K16,0)</f>
        <v>1768</v>
      </c>
      <c r="L86" s="11">
        <f>IFERROR('[1]Cashflow Data'!L16,0)</f>
        <v>2040</v>
      </c>
    </row>
    <row r="87" spans="2:12" x14ac:dyDescent="0.3">
      <c r="B87" t="s">
        <v>104</v>
      </c>
      <c r="C87" s="11">
        <f>IFERROR('[1]Cashflow Data'!C17,0)</f>
        <v>-747</v>
      </c>
      <c r="D87" s="11">
        <f>IFERROR('[1]Cashflow Data'!D17,0)</f>
        <v>0</v>
      </c>
      <c r="E87" s="11">
        <f>IFERROR('[1]Cashflow Data'!E17,0)</f>
        <v>0</v>
      </c>
      <c r="F87" s="11">
        <f>IFERROR('[1]Cashflow Data'!F17,0)</f>
        <v>0</v>
      </c>
      <c r="G87" s="11">
        <f>IFERROR('[1]Cashflow Data'!G17,0)</f>
        <v>0</v>
      </c>
      <c r="H87" s="11">
        <f>IFERROR('[1]Cashflow Data'!H17,0)</f>
        <v>0</v>
      </c>
      <c r="I87" s="11">
        <f>IFERROR('[1]Cashflow Data'!I17,0)</f>
        <v>0</v>
      </c>
      <c r="J87" s="11">
        <f>IFERROR('[1]Cashflow Data'!J17,0)</f>
        <v>0</v>
      </c>
      <c r="K87" s="11">
        <f>IFERROR('[1]Cashflow Data'!K17,0)</f>
        <v>0</v>
      </c>
      <c r="L87" s="11">
        <f>IFERROR('[1]Cashflow Data'!L17,0)</f>
        <v>0</v>
      </c>
    </row>
    <row r="88" spans="2:12" x14ac:dyDescent="0.3">
      <c r="B88" t="s">
        <v>105</v>
      </c>
      <c r="C88" s="11">
        <f>IFERROR('[1]Cashflow Data'!C18,0)</f>
        <v>-142</v>
      </c>
      <c r="D88" s="11">
        <f>IFERROR('[1]Cashflow Data'!D18,0)</f>
        <v>-164</v>
      </c>
      <c r="E88" s="11">
        <f>IFERROR('[1]Cashflow Data'!E18,0)</f>
        <v>-130</v>
      </c>
      <c r="F88" s="11">
        <f>IFERROR('[1]Cashflow Data'!F18,0)</f>
        <v>-24</v>
      </c>
      <c r="G88" s="11">
        <f>IFERROR('[1]Cashflow Data'!G18,0)</f>
        <v>-108</v>
      </c>
      <c r="H88" s="11">
        <f>IFERROR('[1]Cashflow Data'!H18,0)</f>
        <v>0</v>
      </c>
      <c r="I88" s="11">
        <f>IFERROR('[1]Cashflow Data'!I18,0)</f>
        <v>0</v>
      </c>
      <c r="J88" s="11">
        <f>IFERROR('[1]Cashflow Data'!J18,0)</f>
        <v>0</v>
      </c>
      <c r="K88" s="11">
        <f>IFERROR('[1]Cashflow Data'!K18,0)</f>
        <v>0</v>
      </c>
      <c r="L88" s="11">
        <f>IFERROR('[1]Cashflow Data'!L18,0)</f>
        <v>0</v>
      </c>
    </row>
    <row r="89" spans="2:12" x14ac:dyDescent="0.3">
      <c r="B89" t="s">
        <v>106</v>
      </c>
      <c r="C89" s="11">
        <f>IFERROR('[1]Cashflow Data'!C19,0)</f>
        <v>-59</v>
      </c>
      <c r="D89" s="11">
        <f>IFERROR('[1]Cashflow Data'!D19,0)</f>
        <v>-131</v>
      </c>
      <c r="E89" s="11">
        <f>IFERROR('[1]Cashflow Data'!E19,0)</f>
        <v>49</v>
      </c>
      <c r="F89" s="11">
        <f>IFERROR('[1]Cashflow Data'!F19,0)</f>
        <v>1592</v>
      </c>
      <c r="G89" s="11">
        <f>IFERROR('[1]Cashflow Data'!G19,0)</f>
        <v>-224</v>
      </c>
      <c r="H89" s="11">
        <f>IFERROR('[1]Cashflow Data'!H19,0)</f>
        <v>-327</v>
      </c>
      <c r="I89" s="11">
        <f>IFERROR('[1]Cashflow Data'!I19,0)</f>
        <v>-3627</v>
      </c>
      <c r="J89" s="11">
        <f>IFERROR('[1]Cashflow Data'!J19,0)</f>
        <v>-939</v>
      </c>
      <c r="K89" s="11">
        <f>IFERROR('[1]Cashflow Data'!K19,0)</f>
        <v>502</v>
      </c>
      <c r="L89" s="11">
        <f>IFERROR('[1]Cashflow Data'!L19,0)</f>
        <v>-3802</v>
      </c>
    </row>
    <row r="90" spans="2:12" x14ac:dyDescent="0.3">
      <c r="B90" s="23" t="s">
        <v>107</v>
      </c>
      <c r="C90" s="24">
        <f t="shared" ref="C90:L90" si="23">SUM(C81:C89)</f>
        <v>-885</v>
      </c>
      <c r="D90" s="24">
        <f t="shared" si="23"/>
        <v>-14664</v>
      </c>
      <c r="E90" s="24">
        <f t="shared" si="23"/>
        <v>4533</v>
      </c>
      <c r="F90" s="24">
        <f t="shared" si="23"/>
        <v>-632</v>
      </c>
      <c r="G90" s="24">
        <f t="shared" si="23"/>
        <v>-331</v>
      </c>
      <c r="H90" s="24">
        <f t="shared" si="23"/>
        <v>-7373</v>
      </c>
      <c r="I90" s="24">
        <f t="shared" si="23"/>
        <v>-6485</v>
      </c>
      <c r="J90" s="24">
        <f t="shared" si="23"/>
        <v>-1071</v>
      </c>
      <c r="K90" s="24">
        <f t="shared" si="23"/>
        <v>-5093</v>
      </c>
      <c r="L90" s="24">
        <f t="shared" si="23"/>
        <v>-1864</v>
      </c>
    </row>
    <row r="92" spans="2:12" x14ac:dyDescent="0.3">
      <c r="B92" s="25" t="s">
        <v>108</v>
      </c>
    </row>
    <row r="93" spans="2:12" x14ac:dyDescent="0.3">
      <c r="B93" t="s">
        <v>109</v>
      </c>
      <c r="C93" s="11">
        <f>IFERROR('[1]Cashflow Data'!C21,0)</f>
        <v>0</v>
      </c>
      <c r="D93" s="11">
        <f>IFERROR('[1]Cashflow Data'!D21,0)</f>
        <v>0</v>
      </c>
      <c r="E93" s="11">
        <f>IFERROR('[1]Cashflow Data'!E21,0)</f>
        <v>5</v>
      </c>
      <c r="F93" s="11">
        <f>IFERROR('[1]Cashflow Data'!F21,0)</f>
        <v>6</v>
      </c>
      <c r="G93" s="11">
        <f>IFERROR('[1]Cashflow Data'!G21,0)</f>
        <v>6</v>
      </c>
      <c r="H93" s="11">
        <f>IFERROR('[1]Cashflow Data'!H21,0)</f>
        <v>15</v>
      </c>
      <c r="I93" s="11">
        <f>IFERROR('[1]Cashflow Data'!I21,0)</f>
        <v>21</v>
      </c>
      <c r="J93" s="11">
        <f>IFERROR('[1]Cashflow Data'!J21,0)</f>
        <v>35</v>
      </c>
      <c r="K93" s="11">
        <f>IFERROR('[1]Cashflow Data'!K21,0)</f>
        <v>5</v>
      </c>
      <c r="L93" s="11">
        <f>IFERROR('[1]Cashflow Data'!L21,0)</f>
        <v>6</v>
      </c>
    </row>
    <row r="94" spans="2:12" x14ac:dyDescent="0.3">
      <c r="B94" s="26" t="s">
        <v>110</v>
      </c>
      <c r="C94" s="11">
        <f>IFERROR('[1]Cashflow Data'!C22,0)</f>
        <v>0</v>
      </c>
      <c r="D94" s="11">
        <f>IFERROR('[1]Cashflow Data'!D22,0)</f>
        <v>0</v>
      </c>
      <c r="E94" s="11">
        <f>IFERROR('[1]Cashflow Data'!E22,0)</f>
        <v>0</v>
      </c>
      <c r="F94" s="11">
        <f>IFERROR('[1]Cashflow Data'!F22,0)</f>
        <v>0</v>
      </c>
      <c r="G94" s="11">
        <f>IFERROR('[1]Cashflow Data'!G22,0)</f>
        <v>0</v>
      </c>
      <c r="H94" s="11">
        <f>IFERROR('[1]Cashflow Data'!H22,0)</f>
        <v>0</v>
      </c>
      <c r="I94" s="11">
        <f>IFERROR('[1]Cashflow Data'!I22,0)</f>
        <v>0</v>
      </c>
      <c r="J94" s="11">
        <f>IFERROR('[1]Cashflow Data'!J22,0)</f>
        <v>0</v>
      </c>
      <c r="K94" s="11">
        <f>IFERROR('[1]Cashflow Data'!K22,0)</f>
        <v>0</v>
      </c>
      <c r="L94" s="11">
        <f>IFERROR('[1]Cashflow Data'!L22,0)</f>
        <v>-985</v>
      </c>
    </row>
    <row r="95" spans="2:12" x14ac:dyDescent="0.3">
      <c r="B95" t="s">
        <v>111</v>
      </c>
      <c r="C95" s="11">
        <f>IFERROR('[1]Cashflow Data'!C23,0)</f>
        <v>-6813</v>
      </c>
      <c r="D95" s="11">
        <f>IFERROR('[1]Cashflow Data'!D23,0)</f>
        <v>-6939</v>
      </c>
      <c r="E95" s="11">
        <f>IFERROR('[1]Cashflow Data'!E23,0)</f>
        <v>-7464</v>
      </c>
      <c r="F95" s="11">
        <f>IFERROR('[1]Cashflow Data'!F23,0)</f>
        <v>-13705</v>
      </c>
      <c r="G95" s="11">
        <f>IFERROR('[1]Cashflow Data'!G23,0)</f>
        <v>-9548</v>
      </c>
      <c r="H95" s="11">
        <f>IFERROR('[1]Cashflow Data'!H23,0)</f>
        <v>-9137</v>
      </c>
      <c r="I95" s="11">
        <f>IFERROR('[1]Cashflow Data'!I23,0)</f>
        <v>-12731</v>
      </c>
      <c r="J95" s="11">
        <f>IFERROR('[1]Cashflow Data'!J23,0)</f>
        <v>-13653</v>
      </c>
      <c r="K95" s="11">
        <f>IFERROR('[1]Cashflow Data'!K23,0)</f>
        <v>-14731</v>
      </c>
      <c r="L95" s="11">
        <f>IFERROR('[1]Cashflow Data'!L23,0)</f>
        <v>-20289</v>
      </c>
    </row>
    <row r="96" spans="2:12" x14ac:dyDescent="0.3">
      <c r="B96" t="s">
        <v>112</v>
      </c>
      <c r="C96" s="11">
        <f>IFERROR('[1]Cashflow Data'!C24,0)</f>
        <v>0</v>
      </c>
      <c r="D96" s="11">
        <f>IFERROR('[1]Cashflow Data'!D24,0)</f>
        <v>0</v>
      </c>
      <c r="E96" s="11">
        <f>IFERROR('[1]Cashflow Data'!E24,0)</f>
        <v>0</v>
      </c>
      <c r="F96" s="11">
        <f>IFERROR('[1]Cashflow Data'!F24,0)</f>
        <v>0</v>
      </c>
      <c r="G96" s="11">
        <f>IFERROR('[1]Cashflow Data'!G24,0)</f>
        <v>-571</v>
      </c>
      <c r="H96" s="11">
        <f>IFERROR('[1]Cashflow Data'!H24,0)</f>
        <v>-698</v>
      </c>
      <c r="I96" s="11">
        <f>IFERROR('[1]Cashflow Data'!I24,0)</f>
        <v>-915</v>
      </c>
      <c r="J96" s="11">
        <f>IFERROR('[1]Cashflow Data'!J24,0)</f>
        <v>-1231</v>
      </c>
      <c r="K96" s="11">
        <f>IFERROR('[1]Cashflow Data'!K24,0)</f>
        <v>-2024</v>
      </c>
      <c r="L96" s="11">
        <f>IFERROR('[1]Cashflow Data'!L24,0)</f>
        <v>-2355</v>
      </c>
    </row>
    <row r="97" spans="2:12" x14ac:dyDescent="0.3">
      <c r="B97" t="s">
        <v>113</v>
      </c>
      <c r="C97" s="11">
        <f>IFERROR('[1]Cashflow Data'!C25,0)</f>
        <v>0</v>
      </c>
      <c r="D97" s="11">
        <f>IFERROR('[1]Cashflow Data'!D25,0)</f>
        <v>0</v>
      </c>
      <c r="E97" s="11">
        <f>IFERROR('[1]Cashflow Data'!E25,0)</f>
        <v>-13046</v>
      </c>
      <c r="F97" s="11">
        <f>IFERROR('[1]Cashflow Data'!F25,0)</f>
        <v>-813</v>
      </c>
      <c r="G97" s="11">
        <f>IFERROR('[1]Cashflow Data'!G25,0)</f>
        <v>-7478</v>
      </c>
      <c r="H97" s="11">
        <f>IFERROR('[1]Cashflow Data'!H25,0)</f>
        <v>34</v>
      </c>
      <c r="I97" s="11">
        <f>IFERROR('[1]Cashflow Data'!I25,0)</f>
        <v>-11017</v>
      </c>
      <c r="J97" s="11">
        <f>IFERROR('[1]Cashflow Data'!J25,0)</f>
        <v>-11846</v>
      </c>
      <c r="K97" s="11">
        <f>IFERROR('[1]Cashflow Data'!K25,0)</f>
        <v>-754</v>
      </c>
      <c r="L97" s="11">
        <f>IFERROR('[1]Cashflow Data'!L25,0)</f>
        <v>-538</v>
      </c>
    </row>
    <row r="98" spans="2:12" x14ac:dyDescent="0.3">
      <c r="B98" s="25" t="s">
        <v>114</v>
      </c>
      <c r="C98" s="24">
        <f t="shared" ref="C98:L98" si="24">SUM(C93:C97)</f>
        <v>-6813</v>
      </c>
      <c r="D98" s="24">
        <f t="shared" si="24"/>
        <v>-6939</v>
      </c>
      <c r="E98" s="24">
        <f t="shared" si="24"/>
        <v>-20505</v>
      </c>
      <c r="F98" s="24">
        <f t="shared" si="24"/>
        <v>-14512</v>
      </c>
      <c r="G98" s="24">
        <f t="shared" si="24"/>
        <v>-17591</v>
      </c>
      <c r="H98" s="24">
        <f t="shared" si="24"/>
        <v>-9786</v>
      </c>
      <c r="I98" s="24">
        <f t="shared" si="24"/>
        <v>-24642</v>
      </c>
      <c r="J98" s="24">
        <f t="shared" si="24"/>
        <v>-26695</v>
      </c>
      <c r="K98" s="24">
        <f t="shared" si="24"/>
        <v>-17504</v>
      </c>
      <c r="L98" s="24">
        <f t="shared" si="24"/>
        <v>-24161</v>
      </c>
    </row>
    <row r="100" spans="2:12" x14ac:dyDescent="0.3">
      <c r="B100" s="24" t="s">
        <v>115</v>
      </c>
      <c r="C100" s="24">
        <f t="shared" ref="C100:L100" si="25">(C78+C90+C98)</f>
        <v>-501</v>
      </c>
      <c r="D100" s="24">
        <f t="shared" si="25"/>
        <v>-26892</v>
      </c>
      <c r="E100" s="24">
        <f t="shared" si="25"/>
        <v>1863</v>
      </c>
      <c r="F100" s="24">
        <f t="shared" si="25"/>
        <v>-1388</v>
      </c>
      <c r="G100" s="24">
        <f t="shared" si="25"/>
        <v>-3617</v>
      </c>
      <c r="H100" s="24">
        <f t="shared" si="25"/>
        <v>-540</v>
      </c>
      <c r="I100" s="24">
        <f t="shared" si="25"/>
        <v>-15151</v>
      </c>
      <c r="J100" s="24">
        <f t="shared" si="25"/>
        <v>-12714</v>
      </c>
      <c r="K100" s="24">
        <f t="shared" si="25"/>
        <v>-7562</v>
      </c>
      <c r="L100" s="24">
        <f t="shared" si="25"/>
        <v>7510</v>
      </c>
    </row>
  </sheetData>
  <mergeCells count="1">
    <mergeCell ref="B2:M2"/>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BB3B48-ED80-4626-B6E7-0756183BEBC1}">
  <dimension ref="A1:K93"/>
  <sheetViews>
    <sheetView showGridLines="0" topLeftCell="A2" zoomScale="78" workbookViewId="0">
      <selection activeCell="D9" sqref="D9"/>
    </sheetView>
  </sheetViews>
  <sheetFormatPr defaultColWidth="8.77734375" defaultRowHeight="14.4" x14ac:dyDescent="0.3"/>
  <cols>
    <col min="1" max="1" width="27.6640625" style="2" bestFit="1" customWidth="1"/>
    <col min="2" max="11" width="13.44140625" style="2" bestFit="1" customWidth="1"/>
    <col min="12" max="12" width="8.77734375" style="2"/>
    <col min="13" max="13" width="11.44140625" style="2" bestFit="1" customWidth="1"/>
    <col min="14" max="14" width="20.21875" style="2" bestFit="1" customWidth="1"/>
    <col min="15" max="16384" width="8.77734375" style="2"/>
  </cols>
  <sheetData>
    <row r="1" spans="1:11" s="1" customFormat="1" x14ac:dyDescent="0.3">
      <c r="A1" s="1" t="s">
        <v>0</v>
      </c>
      <c r="B1" s="1" t="s">
        <v>1</v>
      </c>
      <c r="E1" s="215" t="str">
        <f>IF(B2&lt;&gt;B3, "A NEW VERSION OF THE WORKSHEET IS AVAILABLE", "")</f>
        <v/>
      </c>
      <c r="F1" s="215"/>
      <c r="G1" s="215"/>
      <c r="H1" s="215"/>
      <c r="I1" s="215"/>
      <c r="J1" s="215"/>
      <c r="K1" s="215"/>
    </row>
    <row r="2" spans="1:11" x14ac:dyDescent="0.3">
      <c r="A2" s="1" t="s">
        <v>2</v>
      </c>
      <c r="B2" s="2">
        <v>2.1</v>
      </c>
      <c r="E2" s="216" t="s">
        <v>3</v>
      </c>
      <c r="F2" s="216"/>
      <c r="G2" s="216"/>
      <c r="H2" s="216"/>
      <c r="I2" s="216"/>
      <c r="J2" s="216"/>
      <c r="K2" s="216"/>
    </row>
    <row r="3" spans="1:11" x14ac:dyDescent="0.3">
      <c r="A3" s="1" t="s">
        <v>4</v>
      </c>
      <c r="B3" s="2">
        <v>2.1</v>
      </c>
    </row>
    <row r="4" spans="1:11" x14ac:dyDescent="0.3">
      <c r="A4" s="1"/>
    </row>
    <row r="5" spans="1:11" x14ac:dyDescent="0.3">
      <c r="A5" s="1" t="s">
        <v>5</v>
      </c>
    </row>
    <row r="6" spans="1:11" x14ac:dyDescent="0.3">
      <c r="A6" s="2" t="s">
        <v>6</v>
      </c>
      <c r="B6" s="2">
        <f>IF(B9&gt;0, B9/B8, 0)</f>
        <v>405.53910883521854</v>
      </c>
    </row>
    <row r="7" spans="1:11" x14ac:dyDescent="0.3">
      <c r="A7" s="2" t="s">
        <v>7</v>
      </c>
      <c r="B7">
        <v>5</v>
      </c>
    </row>
    <row r="8" spans="1:11" x14ac:dyDescent="0.3">
      <c r="A8" s="2" t="s">
        <v>8</v>
      </c>
      <c r="B8">
        <v>1308.4000000000001</v>
      </c>
    </row>
    <row r="9" spans="1:11" x14ac:dyDescent="0.3">
      <c r="A9" s="2" t="s">
        <v>9</v>
      </c>
      <c r="B9">
        <v>530607.37</v>
      </c>
    </row>
    <row r="15" spans="1:11" x14ac:dyDescent="0.3">
      <c r="A15" s="1" t="s">
        <v>10</v>
      </c>
    </row>
    <row r="16" spans="1:11" s="5" customFormat="1" x14ac:dyDescent="0.3">
      <c r="A16" s="3" t="s">
        <v>11</v>
      </c>
      <c r="B16" s="4">
        <v>42460</v>
      </c>
      <c r="C16" s="4">
        <v>42825</v>
      </c>
      <c r="D16" s="4">
        <v>43190</v>
      </c>
      <c r="E16" s="4">
        <v>43555</v>
      </c>
      <c r="F16" s="4">
        <v>43921</v>
      </c>
      <c r="G16" s="4">
        <v>44286</v>
      </c>
      <c r="H16" s="4">
        <v>44651</v>
      </c>
      <c r="I16" s="4">
        <v>45016</v>
      </c>
      <c r="J16" s="4">
        <v>45382</v>
      </c>
      <c r="K16" s="4">
        <v>45747</v>
      </c>
    </row>
    <row r="17" spans="1:11" s="6" customFormat="1" x14ac:dyDescent="0.3">
      <c r="A17" s="6" t="s">
        <v>12</v>
      </c>
      <c r="B17">
        <v>62441</v>
      </c>
      <c r="C17">
        <v>68484</v>
      </c>
      <c r="D17">
        <v>70522</v>
      </c>
      <c r="E17">
        <v>82675</v>
      </c>
      <c r="F17">
        <v>90791</v>
      </c>
      <c r="G17">
        <v>100472</v>
      </c>
      <c r="H17">
        <v>121641</v>
      </c>
      <c r="I17">
        <v>146767</v>
      </c>
      <c r="J17">
        <v>153670</v>
      </c>
      <c r="K17">
        <v>162990</v>
      </c>
    </row>
    <row r="18" spans="1:11" s="6" customFormat="1" x14ac:dyDescent="0.3">
      <c r="A18" s="2" t="s">
        <v>13</v>
      </c>
    </row>
    <row r="19" spans="1:11" s="6" customFormat="1" x14ac:dyDescent="0.3">
      <c r="A19" s="2" t="s">
        <v>14</v>
      </c>
    </row>
    <row r="20" spans="1:11" s="6" customFormat="1" x14ac:dyDescent="0.3">
      <c r="A20" s="2" t="s">
        <v>15</v>
      </c>
      <c r="B20">
        <v>217</v>
      </c>
      <c r="C20">
        <v>228</v>
      </c>
      <c r="D20">
        <v>207</v>
      </c>
      <c r="E20">
        <v>221</v>
      </c>
      <c r="F20">
        <v>229</v>
      </c>
      <c r="G20">
        <v>143</v>
      </c>
      <c r="H20">
        <v>132</v>
      </c>
      <c r="I20">
        <v>176</v>
      </c>
      <c r="J20">
        <v>199</v>
      </c>
      <c r="K20">
        <v>222</v>
      </c>
    </row>
    <row r="21" spans="1:11" s="6" customFormat="1" x14ac:dyDescent="0.3">
      <c r="A21" s="2" t="s">
        <v>16</v>
      </c>
      <c r="B21">
        <v>5860</v>
      </c>
      <c r="C21">
        <v>6712</v>
      </c>
      <c r="D21">
        <v>7286</v>
      </c>
      <c r="E21">
        <v>9902</v>
      </c>
      <c r="F21">
        <v>11086</v>
      </c>
      <c r="G21">
        <v>12800</v>
      </c>
      <c r="H21">
        <v>20690</v>
      </c>
      <c r="I21">
        <v>26330</v>
      </c>
      <c r="J21">
        <v>27195</v>
      </c>
      <c r="K21">
        <v>30395</v>
      </c>
    </row>
    <row r="22" spans="1:11" s="6" customFormat="1" x14ac:dyDescent="0.3">
      <c r="A22" s="2" t="s">
        <v>17</v>
      </c>
      <c r="B22">
        <v>34415</v>
      </c>
      <c r="C22">
        <v>37669</v>
      </c>
      <c r="D22">
        <v>38902</v>
      </c>
      <c r="E22">
        <v>45323</v>
      </c>
      <c r="F22">
        <v>50895</v>
      </c>
      <c r="G22">
        <v>55547</v>
      </c>
      <c r="H22">
        <v>63997</v>
      </c>
      <c r="I22">
        <v>78374</v>
      </c>
      <c r="J22">
        <v>82636</v>
      </c>
      <c r="K22">
        <v>85968</v>
      </c>
    </row>
    <row r="23" spans="1:11" s="6" customFormat="1" x14ac:dyDescent="0.3">
      <c r="A23" s="2" t="s">
        <v>18</v>
      </c>
      <c r="B23">
        <v>4441</v>
      </c>
      <c r="C23">
        <v>4584</v>
      </c>
      <c r="D23">
        <v>4585</v>
      </c>
      <c r="E23">
        <v>5553</v>
      </c>
      <c r="F23">
        <v>5375</v>
      </c>
      <c r="G23">
        <v>3194</v>
      </c>
      <c r="H23">
        <v>4305</v>
      </c>
      <c r="I23">
        <v>5300</v>
      </c>
      <c r="J23">
        <v>5705</v>
      </c>
      <c r="K23">
        <v>6039</v>
      </c>
    </row>
    <row r="24" spans="1:11" s="6" customFormat="1" x14ac:dyDescent="0.3">
      <c r="A24" s="2" t="s">
        <v>19</v>
      </c>
      <c r="B24">
        <v>429</v>
      </c>
      <c r="C24">
        <v>687</v>
      </c>
      <c r="D24">
        <v>720</v>
      </c>
      <c r="E24">
        <v>1506</v>
      </c>
      <c r="F24">
        <v>939</v>
      </c>
      <c r="G24">
        <v>899</v>
      </c>
      <c r="H24">
        <v>1026</v>
      </c>
      <c r="I24">
        <v>1457</v>
      </c>
      <c r="J24">
        <v>1510</v>
      </c>
      <c r="K24">
        <v>1130</v>
      </c>
    </row>
    <row r="25" spans="1:11" s="6" customFormat="1" x14ac:dyDescent="0.3">
      <c r="A25" s="6" t="s">
        <v>20</v>
      </c>
      <c r="B25">
        <v>3120</v>
      </c>
      <c r="C25">
        <v>3050</v>
      </c>
      <c r="D25">
        <v>3311</v>
      </c>
      <c r="E25">
        <v>2882</v>
      </c>
      <c r="F25">
        <v>2803</v>
      </c>
      <c r="G25">
        <v>2201</v>
      </c>
      <c r="H25">
        <v>2295</v>
      </c>
      <c r="I25">
        <v>2701</v>
      </c>
      <c r="J25">
        <v>4711</v>
      </c>
      <c r="K25">
        <v>3600</v>
      </c>
    </row>
    <row r="26" spans="1:11" s="6" customFormat="1" x14ac:dyDescent="0.3">
      <c r="A26" s="6" t="s">
        <v>21</v>
      </c>
      <c r="B26">
        <v>1459</v>
      </c>
      <c r="C26">
        <v>1703</v>
      </c>
      <c r="D26">
        <v>1863</v>
      </c>
      <c r="E26">
        <v>2011</v>
      </c>
      <c r="F26">
        <v>2893</v>
      </c>
      <c r="G26">
        <v>3267</v>
      </c>
      <c r="H26">
        <v>3476</v>
      </c>
      <c r="I26">
        <v>4225</v>
      </c>
      <c r="J26">
        <v>4678</v>
      </c>
      <c r="K26">
        <v>4812</v>
      </c>
    </row>
    <row r="27" spans="1:11" s="6" customFormat="1" x14ac:dyDescent="0.3">
      <c r="A27" s="6" t="s">
        <v>22</v>
      </c>
      <c r="B27"/>
      <c r="C27"/>
      <c r="D27"/>
      <c r="E27"/>
      <c r="F27">
        <v>170</v>
      </c>
      <c r="G27">
        <v>195</v>
      </c>
      <c r="H27">
        <v>200</v>
      </c>
      <c r="I27">
        <v>284</v>
      </c>
      <c r="J27">
        <v>470</v>
      </c>
      <c r="K27">
        <v>416</v>
      </c>
    </row>
    <row r="28" spans="1:11" s="6" customFormat="1" x14ac:dyDescent="0.3">
      <c r="A28" s="6" t="s">
        <v>23</v>
      </c>
      <c r="B28">
        <v>18740</v>
      </c>
      <c r="C28">
        <v>19951</v>
      </c>
      <c r="D28">
        <v>20270</v>
      </c>
      <c r="E28">
        <v>21041</v>
      </c>
      <c r="F28">
        <v>22007</v>
      </c>
      <c r="G28">
        <v>26628</v>
      </c>
      <c r="H28">
        <v>30110</v>
      </c>
      <c r="I28">
        <v>33322</v>
      </c>
      <c r="J28">
        <v>35988</v>
      </c>
      <c r="K28">
        <v>37608</v>
      </c>
    </row>
    <row r="29" spans="1:11" s="6" customFormat="1" x14ac:dyDescent="0.3">
      <c r="A29" s="6" t="s">
        <v>24</v>
      </c>
      <c r="B29">
        <v>5251</v>
      </c>
      <c r="C29">
        <v>5598</v>
      </c>
      <c r="D29">
        <v>4241</v>
      </c>
      <c r="E29">
        <v>5631</v>
      </c>
      <c r="F29">
        <v>5368</v>
      </c>
      <c r="G29">
        <v>7205</v>
      </c>
      <c r="H29">
        <v>7964</v>
      </c>
      <c r="I29">
        <v>9214</v>
      </c>
      <c r="J29">
        <v>9740</v>
      </c>
      <c r="K29">
        <v>10858</v>
      </c>
    </row>
    <row r="30" spans="1:11" s="6" customFormat="1" x14ac:dyDescent="0.3">
      <c r="A30" s="6" t="s">
        <v>25</v>
      </c>
      <c r="B30">
        <v>13489</v>
      </c>
      <c r="C30">
        <v>14353</v>
      </c>
      <c r="D30">
        <v>16029</v>
      </c>
      <c r="E30">
        <v>15404</v>
      </c>
      <c r="F30">
        <v>16594</v>
      </c>
      <c r="G30">
        <v>19351</v>
      </c>
      <c r="H30">
        <v>22110</v>
      </c>
      <c r="I30">
        <v>24095</v>
      </c>
      <c r="J30">
        <v>26233</v>
      </c>
      <c r="K30">
        <v>26713</v>
      </c>
    </row>
    <row r="31" spans="1:11" s="6" customFormat="1" x14ac:dyDescent="0.3">
      <c r="A31" s="6" t="s">
        <v>26</v>
      </c>
      <c r="B31">
        <v>5548.4</v>
      </c>
      <c r="C31">
        <v>5891.6</v>
      </c>
      <c r="D31">
        <v>9465.6</v>
      </c>
      <c r="E31">
        <v>9222.5</v>
      </c>
      <c r="F31">
        <v>7427</v>
      </c>
      <c r="G31">
        <v>11469.6</v>
      </c>
      <c r="H31">
        <v>13007.6</v>
      </c>
      <c r="I31">
        <v>14069.2</v>
      </c>
      <c r="J31">
        <v>19053.2</v>
      </c>
      <c r="K31">
        <v>17827.8</v>
      </c>
    </row>
    <row r="32" spans="1:11" s="6" customFormat="1" x14ac:dyDescent="0.3"/>
    <row r="33" spans="1:11" x14ac:dyDescent="0.3">
      <c r="A33" s="6" t="s">
        <v>65</v>
      </c>
      <c r="B33" s="2">
        <f>B30+B29+B27+B26</f>
        <v>20199</v>
      </c>
      <c r="C33" s="2">
        <f t="shared" ref="C33:K33" si="0">C30+C29+C27+C26</f>
        <v>21654</v>
      </c>
      <c r="D33" s="2">
        <f t="shared" si="0"/>
        <v>22133</v>
      </c>
      <c r="E33" s="2">
        <f t="shared" si="0"/>
        <v>23046</v>
      </c>
      <c r="F33" s="2">
        <f t="shared" si="0"/>
        <v>25025</v>
      </c>
      <c r="G33" s="2">
        <f t="shared" si="0"/>
        <v>30018</v>
      </c>
      <c r="H33" s="2">
        <f t="shared" si="0"/>
        <v>33750</v>
      </c>
      <c r="I33" s="2">
        <f t="shared" si="0"/>
        <v>37818</v>
      </c>
      <c r="J33" s="2">
        <f>J30+J29+J27+J26</f>
        <v>41121</v>
      </c>
      <c r="K33" s="2">
        <f t="shared" si="0"/>
        <v>42799</v>
      </c>
    </row>
    <row r="34" spans="1:11" x14ac:dyDescent="0.3">
      <c r="A34" s="6"/>
    </row>
    <row r="35" spans="1:11" x14ac:dyDescent="0.3">
      <c r="A35" s="6"/>
    </row>
    <row r="36" spans="1:11" x14ac:dyDescent="0.3">
      <c r="A36" s="6"/>
    </row>
    <row r="37" spans="1:11" x14ac:dyDescent="0.3">
      <c r="A37" s="6"/>
    </row>
    <row r="38" spans="1:11" x14ac:dyDescent="0.3">
      <c r="A38" s="6"/>
    </row>
    <row r="39" spans="1:11" x14ac:dyDescent="0.3">
      <c r="A39" s="6"/>
    </row>
    <row r="40" spans="1:11" x14ac:dyDescent="0.3">
      <c r="A40" s="1" t="s">
        <v>27</v>
      </c>
    </row>
    <row r="41" spans="1:11" s="5" customFormat="1" x14ac:dyDescent="0.3">
      <c r="A41" s="3" t="s">
        <v>11</v>
      </c>
      <c r="B41" s="4">
        <v>45199</v>
      </c>
      <c r="C41" s="4">
        <v>45291</v>
      </c>
      <c r="D41" s="4">
        <v>45382</v>
      </c>
      <c r="E41" s="4">
        <v>45473</v>
      </c>
      <c r="F41" s="4">
        <v>45565</v>
      </c>
      <c r="G41" s="4">
        <v>45657</v>
      </c>
      <c r="H41" s="4">
        <v>45747</v>
      </c>
      <c r="I41" s="4">
        <v>45838</v>
      </c>
      <c r="J41" s="4">
        <v>45930</v>
      </c>
      <c r="K41" s="4">
        <v>46022</v>
      </c>
    </row>
    <row r="42" spans="1:11" s="6" customFormat="1" x14ac:dyDescent="0.3">
      <c r="A42" s="6" t="s">
        <v>12</v>
      </c>
      <c r="B42">
        <v>38994</v>
      </c>
      <c r="C42">
        <v>38821</v>
      </c>
      <c r="D42">
        <v>37923</v>
      </c>
      <c r="E42">
        <v>39315</v>
      </c>
      <c r="F42">
        <v>40986</v>
      </c>
      <c r="G42">
        <v>41764</v>
      </c>
      <c r="H42">
        <v>40925</v>
      </c>
      <c r="I42">
        <v>42279</v>
      </c>
      <c r="J42">
        <v>44490</v>
      </c>
      <c r="K42">
        <v>45479</v>
      </c>
    </row>
    <row r="43" spans="1:11" s="6" customFormat="1" x14ac:dyDescent="0.3">
      <c r="A43" s="6" t="s">
        <v>28</v>
      </c>
      <c r="B43">
        <v>29554</v>
      </c>
      <c r="C43">
        <v>29684</v>
      </c>
      <c r="D43">
        <v>29139</v>
      </c>
      <c r="E43">
        <v>29878</v>
      </c>
      <c r="F43">
        <v>31177</v>
      </c>
      <c r="G43">
        <v>31649</v>
      </c>
      <c r="H43">
        <v>31051</v>
      </c>
      <c r="I43">
        <v>32336</v>
      </c>
      <c r="J43">
        <v>33955</v>
      </c>
      <c r="K43">
        <v>34845</v>
      </c>
    </row>
    <row r="44" spans="1:11" s="6" customFormat="1" x14ac:dyDescent="0.3">
      <c r="A44" s="6" t="s">
        <v>20</v>
      </c>
      <c r="B44">
        <v>632</v>
      </c>
      <c r="C44">
        <v>789</v>
      </c>
      <c r="D44">
        <v>2729</v>
      </c>
      <c r="E44">
        <v>838</v>
      </c>
      <c r="F44">
        <v>712</v>
      </c>
      <c r="G44">
        <v>859</v>
      </c>
      <c r="H44">
        <v>1190</v>
      </c>
      <c r="I44">
        <v>1042</v>
      </c>
      <c r="J44">
        <v>982</v>
      </c>
      <c r="K44">
        <v>-150</v>
      </c>
    </row>
    <row r="45" spans="1:11" s="6" customFormat="1" x14ac:dyDescent="0.3">
      <c r="A45" s="6" t="s">
        <v>21</v>
      </c>
      <c r="B45">
        <v>1166</v>
      </c>
      <c r="C45">
        <v>1176</v>
      </c>
      <c r="D45">
        <v>1163</v>
      </c>
      <c r="E45">
        <v>1149</v>
      </c>
      <c r="F45">
        <v>1160</v>
      </c>
      <c r="G45">
        <v>1203</v>
      </c>
      <c r="H45">
        <v>1299</v>
      </c>
      <c r="I45">
        <v>1140</v>
      </c>
      <c r="J45">
        <v>1182</v>
      </c>
      <c r="K45">
        <v>1155</v>
      </c>
    </row>
    <row r="46" spans="1:11" s="6" customFormat="1" x14ac:dyDescent="0.3">
      <c r="A46" s="6" t="s">
        <v>22</v>
      </c>
      <c r="B46">
        <v>138</v>
      </c>
      <c r="C46">
        <v>131</v>
      </c>
      <c r="D46">
        <v>110</v>
      </c>
      <c r="E46">
        <v>105</v>
      </c>
      <c r="F46">
        <v>108</v>
      </c>
      <c r="G46">
        <v>101</v>
      </c>
      <c r="H46">
        <v>102</v>
      </c>
      <c r="I46">
        <v>105</v>
      </c>
      <c r="J46">
        <v>106</v>
      </c>
      <c r="K46">
        <v>100</v>
      </c>
    </row>
    <row r="47" spans="1:11" s="6" customFormat="1" x14ac:dyDescent="0.3">
      <c r="A47" s="6" t="s">
        <v>23</v>
      </c>
      <c r="B47">
        <v>8768</v>
      </c>
      <c r="C47">
        <v>8619</v>
      </c>
      <c r="D47">
        <v>10240</v>
      </c>
      <c r="E47">
        <v>9021</v>
      </c>
      <c r="F47">
        <v>9253</v>
      </c>
      <c r="G47">
        <v>9670</v>
      </c>
      <c r="H47">
        <v>9663</v>
      </c>
      <c r="I47">
        <v>9740</v>
      </c>
      <c r="J47">
        <v>10229</v>
      </c>
      <c r="K47">
        <v>9229</v>
      </c>
    </row>
    <row r="48" spans="1:11" s="6" customFormat="1" x14ac:dyDescent="0.3">
      <c r="A48" s="6" t="s">
        <v>24</v>
      </c>
      <c r="B48">
        <v>2553</v>
      </c>
      <c r="C48">
        <v>2506</v>
      </c>
      <c r="D48">
        <v>2265</v>
      </c>
      <c r="E48">
        <v>2647</v>
      </c>
      <c r="F48">
        <v>2737</v>
      </c>
      <c r="G48">
        <v>2848</v>
      </c>
      <c r="H48">
        <v>2625</v>
      </c>
      <c r="I48">
        <v>2816</v>
      </c>
      <c r="J48">
        <v>2854</v>
      </c>
      <c r="K48">
        <v>2563</v>
      </c>
    </row>
    <row r="49" spans="1:11" s="6" customFormat="1" x14ac:dyDescent="0.3">
      <c r="A49" s="6" t="s">
        <v>25</v>
      </c>
      <c r="B49">
        <v>6212</v>
      </c>
      <c r="C49">
        <v>6106</v>
      </c>
      <c r="D49">
        <v>7969</v>
      </c>
      <c r="E49">
        <v>6368</v>
      </c>
      <c r="F49">
        <v>6506</v>
      </c>
      <c r="G49">
        <v>6806</v>
      </c>
      <c r="H49">
        <v>7033</v>
      </c>
      <c r="I49">
        <v>6921</v>
      </c>
      <c r="J49">
        <v>7364</v>
      </c>
      <c r="K49">
        <v>6654</v>
      </c>
    </row>
    <row r="50" spans="1:11" x14ac:dyDescent="0.3">
      <c r="A50" s="6" t="s">
        <v>29</v>
      </c>
      <c r="B50">
        <v>9440</v>
      </c>
      <c r="C50">
        <v>9137</v>
      </c>
      <c r="D50">
        <v>8784</v>
      </c>
      <c r="E50">
        <v>9437</v>
      </c>
      <c r="F50">
        <v>9809</v>
      </c>
      <c r="G50">
        <v>10115</v>
      </c>
      <c r="H50">
        <v>9874</v>
      </c>
      <c r="I50">
        <v>9943</v>
      </c>
      <c r="J50">
        <v>10535</v>
      </c>
      <c r="K50">
        <v>10634</v>
      </c>
    </row>
    <row r="51" spans="1:11" x14ac:dyDescent="0.3">
      <c r="A51" s="6"/>
    </row>
    <row r="52" spans="1:11" x14ac:dyDescent="0.3">
      <c r="A52" s="6"/>
    </row>
    <row r="53" spans="1:11" x14ac:dyDescent="0.3">
      <c r="A53" s="6"/>
    </row>
    <row r="54" spans="1:11" x14ac:dyDescent="0.3">
      <c r="A54" s="6"/>
    </row>
    <row r="55" spans="1:11" x14ac:dyDescent="0.3">
      <c r="A55" s="1" t="s">
        <v>30</v>
      </c>
    </row>
    <row r="56" spans="1:11" s="5" customFormat="1" x14ac:dyDescent="0.3">
      <c r="A56" s="3" t="s">
        <v>11</v>
      </c>
      <c r="B56" s="4">
        <v>42460</v>
      </c>
      <c r="C56" s="4">
        <v>42825</v>
      </c>
      <c r="D56" s="4">
        <v>43190</v>
      </c>
      <c r="E56" s="4">
        <v>43555</v>
      </c>
      <c r="F56" s="4">
        <v>43921</v>
      </c>
      <c r="G56" s="4">
        <v>44286</v>
      </c>
      <c r="H56" s="4">
        <v>44651</v>
      </c>
      <c r="I56" s="4">
        <v>45016</v>
      </c>
      <c r="J56" s="4">
        <v>45382</v>
      </c>
      <c r="K56" s="4">
        <v>45747</v>
      </c>
    </row>
    <row r="57" spans="1:11" x14ac:dyDescent="0.3">
      <c r="A57" s="6" t="s">
        <v>31</v>
      </c>
      <c r="B57">
        <v>1144</v>
      </c>
      <c r="C57">
        <v>1144</v>
      </c>
      <c r="D57">
        <v>1088</v>
      </c>
      <c r="E57">
        <v>2170</v>
      </c>
      <c r="F57">
        <v>2122</v>
      </c>
      <c r="G57">
        <v>2124</v>
      </c>
      <c r="H57">
        <v>2098</v>
      </c>
      <c r="I57">
        <v>2069</v>
      </c>
      <c r="J57">
        <v>2071</v>
      </c>
      <c r="K57">
        <v>2073</v>
      </c>
    </row>
    <row r="58" spans="1:11" x14ac:dyDescent="0.3">
      <c r="A58" s="6" t="s">
        <v>32</v>
      </c>
      <c r="B58">
        <v>60600</v>
      </c>
      <c r="C58">
        <v>67838</v>
      </c>
      <c r="D58">
        <v>63835</v>
      </c>
      <c r="E58">
        <v>62778</v>
      </c>
      <c r="F58">
        <v>63328</v>
      </c>
      <c r="G58">
        <v>74227</v>
      </c>
      <c r="H58">
        <v>73252</v>
      </c>
      <c r="I58">
        <v>73338</v>
      </c>
      <c r="J58">
        <v>86045</v>
      </c>
      <c r="K58">
        <v>93745</v>
      </c>
    </row>
    <row r="59" spans="1:11" x14ac:dyDescent="0.3">
      <c r="A59" s="6" t="s">
        <v>33</v>
      </c>
      <c r="B59"/>
      <c r="C59"/>
      <c r="D59"/>
      <c r="E59"/>
      <c r="F59">
        <v>4633</v>
      </c>
      <c r="G59">
        <v>5325</v>
      </c>
      <c r="H59">
        <v>5474</v>
      </c>
      <c r="I59">
        <v>8299</v>
      </c>
      <c r="J59">
        <v>8359</v>
      </c>
      <c r="K59">
        <v>8227</v>
      </c>
    </row>
    <row r="60" spans="1:11" x14ac:dyDescent="0.3">
      <c r="A60" s="6" t="s">
        <v>34</v>
      </c>
      <c r="B60">
        <v>13354</v>
      </c>
      <c r="C60">
        <v>14166</v>
      </c>
      <c r="D60">
        <v>14426</v>
      </c>
      <c r="E60">
        <v>19118</v>
      </c>
      <c r="F60">
        <v>21717</v>
      </c>
      <c r="G60">
        <v>25835</v>
      </c>
      <c r="H60">
        <v>35905</v>
      </c>
      <c r="I60">
        <v>40890</v>
      </c>
      <c r="J60">
        <v>40885</v>
      </c>
      <c r="K60">
        <v>43750</v>
      </c>
    </row>
    <row r="61" spans="1:11" s="1" customFormat="1" x14ac:dyDescent="0.3">
      <c r="A61" s="1" t="s">
        <v>35</v>
      </c>
      <c r="B61">
        <v>75098</v>
      </c>
      <c r="C61">
        <v>83148</v>
      </c>
      <c r="D61">
        <v>79349</v>
      </c>
      <c r="E61">
        <v>84066</v>
      </c>
      <c r="F61">
        <v>91800</v>
      </c>
      <c r="G61">
        <v>107511</v>
      </c>
      <c r="H61">
        <v>116729</v>
      </c>
      <c r="I61">
        <v>124596</v>
      </c>
      <c r="J61">
        <v>137360</v>
      </c>
      <c r="K61">
        <v>147795</v>
      </c>
    </row>
    <row r="62" spans="1:11" x14ac:dyDescent="0.3">
      <c r="A62" s="6" t="s">
        <v>36</v>
      </c>
      <c r="B62">
        <v>13386</v>
      </c>
      <c r="C62">
        <v>14179</v>
      </c>
      <c r="D62">
        <v>12574</v>
      </c>
      <c r="E62">
        <v>15710</v>
      </c>
      <c r="F62">
        <v>23789</v>
      </c>
      <c r="G62">
        <v>25505</v>
      </c>
      <c r="H62">
        <v>25800</v>
      </c>
      <c r="I62">
        <v>29225</v>
      </c>
      <c r="J62">
        <v>27622</v>
      </c>
      <c r="K62">
        <v>30961</v>
      </c>
    </row>
    <row r="63" spans="1:11" x14ac:dyDescent="0.3">
      <c r="A63" s="6" t="s">
        <v>37</v>
      </c>
      <c r="B63">
        <v>960</v>
      </c>
      <c r="C63">
        <v>1365</v>
      </c>
      <c r="D63">
        <v>1606</v>
      </c>
      <c r="E63">
        <v>1388</v>
      </c>
      <c r="F63">
        <v>954</v>
      </c>
      <c r="G63">
        <v>922</v>
      </c>
      <c r="H63">
        <v>416</v>
      </c>
      <c r="I63">
        <v>288</v>
      </c>
      <c r="J63">
        <v>293</v>
      </c>
      <c r="K63">
        <v>814</v>
      </c>
    </row>
    <row r="64" spans="1:11" x14ac:dyDescent="0.3">
      <c r="A64" s="6" t="s">
        <v>38</v>
      </c>
      <c r="B64">
        <v>1892</v>
      </c>
      <c r="C64">
        <v>16423</v>
      </c>
      <c r="D64">
        <v>12163</v>
      </c>
      <c r="E64">
        <v>11261</v>
      </c>
      <c r="F64">
        <v>8792</v>
      </c>
      <c r="G64">
        <v>14205</v>
      </c>
      <c r="H64">
        <v>20324</v>
      </c>
      <c r="I64">
        <v>19478</v>
      </c>
      <c r="J64">
        <v>24623</v>
      </c>
      <c r="K64">
        <v>23541</v>
      </c>
    </row>
    <row r="65" spans="1:11" x14ac:dyDescent="0.3">
      <c r="A65" s="6" t="s">
        <v>39</v>
      </c>
      <c r="B65">
        <v>58860</v>
      </c>
      <c r="C65">
        <v>51181</v>
      </c>
      <c r="D65">
        <v>53006</v>
      </c>
      <c r="E65">
        <v>55707</v>
      </c>
      <c r="F65">
        <v>58265</v>
      </c>
      <c r="G65">
        <v>66879</v>
      </c>
      <c r="H65">
        <v>70189</v>
      </c>
      <c r="I65">
        <v>75605</v>
      </c>
      <c r="J65">
        <v>84822</v>
      </c>
      <c r="K65">
        <v>92479</v>
      </c>
    </row>
    <row r="66" spans="1:11" s="1" customFormat="1" x14ac:dyDescent="0.3">
      <c r="A66" s="1" t="s">
        <v>35</v>
      </c>
      <c r="B66">
        <v>75098</v>
      </c>
      <c r="C66">
        <v>83148</v>
      </c>
      <c r="D66">
        <v>79349</v>
      </c>
      <c r="E66">
        <v>84066</v>
      </c>
      <c r="F66">
        <v>91800</v>
      </c>
      <c r="G66">
        <v>107511</v>
      </c>
      <c r="H66">
        <v>116729</v>
      </c>
      <c r="I66">
        <v>124596</v>
      </c>
      <c r="J66">
        <v>137360</v>
      </c>
      <c r="K66">
        <v>147795</v>
      </c>
    </row>
    <row r="67" spans="1:11" s="6" customFormat="1" x14ac:dyDescent="0.3">
      <c r="A67" s="6" t="s">
        <v>40</v>
      </c>
      <c r="B67">
        <v>11330</v>
      </c>
      <c r="C67">
        <v>12322</v>
      </c>
      <c r="D67">
        <v>13142</v>
      </c>
      <c r="E67">
        <v>14827</v>
      </c>
      <c r="F67">
        <v>18487</v>
      </c>
      <c r="G67">
        <v>19294</v>
      </c>
      <c r="H67">
        <v>22698</v>
      </c>
      <c r="I67">
        <v>25424</v>
      </c>
      <c r="J67">
        <v>30193</v>
      </c>
      <c r="K67">
        <v>31158</v>
      </c>
    </row>
    <row r="68" spans="1:11" x14ac:dyDescent="0.3">
      <c r="A68" s="6" t="s">
        <v>41</v>
      </c>
      <c r="B68"/>
      <c r="C68"/>
      <c r="D68"/>
      <c r="E68"/>
      <c r="F68"/>
      <c r="G68"/>
      <c r="H68"/>
      <c r="I68"/>
      <c r="J68"/>
      <c r="K68"/>
    </row>
    <row r="69" spans="1:11" x14ac:dyDescent="0.3">
      <c r="A69" s="2" t="s">
        <v>42</v>
      </c>
      <c r="B69">
        <v>32697</v>
      </c>
      <c r="C69">
        <v>22625</v>
      </c>
      <c r="D69">
        <v>19818</v>
      </c>
      <c r="E69">
        <v>19568</v>
      </c>
      <c r="F69">
        <v>18649</v>
      </c>
      <c r="G69">
        <v>24714</v>
      </c>
      <c r="H69">
        <v>17472</v>
      </c>
      <c r="I69">
        <v>12173</v>
      </c>
      <c r="J69">
        <v>14786</v>
      </c>
      <c r="K69">
        <v>24455</v>
      </c>
    </row>
    <row r="70" spans="1:11" x14ac:dyDescent="0.3">
      <c r="A70" s="2" t="s">
        <v>43</v>
      </c>
      <c r="B70">
        <v>2285621088</v>
      </c>
      <c r="C70">
        <v>2285655150</v>
      </c>
      <c r="D70">
        <v>2173312301</v>
      </c>
      <c r="E70">
        <v>4335954462</v>
      </c>
      <c r="F70">
        <v>4240753210</v>
      </c>
      <c r="G70">
        <v>4245146114</v>
      </c>
      <c r="H70">
        <v>4193012929</v>
      </c>
      <c r="I70">
        <v>4136387925</v>
      </c>
      <c r="J70">
        <v>4139950635</v>
      </c>
      <c r="K70">
        <v>4143607528</v>
      </c>
    </row>
    <row r="71" spans="1:11" x14ac:dyDescent="0.3">
      <c r="A71" s="2" t="s">
        <v>44</v>
      </c>
      <c r="B71">
        <v>1148472332</v>
      </c>
      <c r="E71">
        <v>2184191490</v>
      </c>
    </row>
    <row r="72" spans="1:11" x14ac:dyDescent="0.3">
      <c r="A72" s="2" t="s">
        <v>45</v>
      </c>
      <c r="B72">
        <v>5</v>
      </c>
      <c r="C72">
        <v>5</v>
      </c>
      <c r="D72">
        <v>5</v>
      </c>
      <c r="E72">
        <v>5</v>
      </c>
      <c r="F72">
        <v>5</v>
      </c>
      <c r="G72">
        <v>5</v>
      </c>
      <c r="H72">
        <v>5</v>
      </c>
      <c r="I72">
        <v>5</v>
      </c>
      <c r="J72">
        <v>5</v>
      </c>
      <c r="K72">
        <v>5</v>
      </c>
    </row>
    <row r="74" spans="1:11" x14ac:dyDescent="0.3">
      <c r="A74" s="6"/>
    </row>
    <row r="75" spans="1:11" x14ac:dyDescent="0.3">
      <c r="A75" s="6"/>
    </row>
    <row r="76" spans="1:11" x14ac:dyDescent="0.3">
      <c r="A76" s="6"/>
    </row>
    <row r="77" spans="1:11" x14ac:dyDescent="0.3">
      <c r="A77" s="6"/>
    </row>
    <row r="78" spans="1:11" x14ac:dyDescent="0.3">
      <c r="A78" s="6"/>
    </row>
    <row r="79" spans="1:11" x14ac:dyDescent="0.3">
      <c r="A79" s="6"/>
    </row>
    <row r="80" spans="1:11" x14ac:dyDescent="0.3">
      <c r="A80" s="1" t="s">
        <v>46</v>
      </c>
    </row>
    <row r="81" spans="1:11" s="5" customFormat="1" x14ac:dyDescent="0.3">
      <c r="A81" s="3" t="s">
        <v>11</v>
      </c>
      <c r="B81" s="4">
        <v>42460</v>
      </c>
      <c r="C81" s="4">
        <v>42825</v>
      </c>
      <c r="D81" s="4">
        <v>43190</v>
      </c>
      <c r="E81" s="4">
        <v>43555</v>
      </c>
      <c r="F81" s="4">
        <v>43921</v>
      </c>
      <c r="G81" s="4">
        <v>44286</v>
      </c>
      <c r="H81" s="4">
        <v>44651</v>
      </c>
      <c r="I81" s="4">
        <v>45016</v>
      </c>
      <c r="J81" s="4">
        <v>45382</v>
      </c>
      <c r="K81" s="4">
        <v>45747</v>
      </c>
    </row>
    <row r="82" spans="1:11" s="1" customFormat="1" x14ac:dyDescent="0.3">
      <c r="A82" s="6" t="s">
        <v>47</v>
      </c>
      <c r="B82">
        <v>10028</v>
      </c>
      <c r="C82">
        <v>11531</v>
      </c>
      <c r="D82">
        <v>13218</v>
      </c>
      <c r="E82">
        <v>14841</v>
      </c>
      <c r="F82">
        <v>17003</v>
      </c>
      <c r="G82">
        <v>23224</v>
      </c>
      <c r="H82">
        <v>23885</v>
      </c>
      <c r="I82">
        <v>22467</v>
      </c>
      <c r="J82">
        <v>25210</v>
      </c>
      <c r="K82">
        <v>35694</v>
      </c>
    </row>
    <row r="83" spans="1:11" s="6" customFormat="1" x14ac:dyDescent="0.3">
      <c r="A83" s="6" t="s">
        <v>48</v>
      </c>
      <c r="B83">
        <v>-885</v>
      </c>
      <c r="C83">
        <v>-14664</v>
      </c>
      <c r="D83">
        <v>4533</v>
      </c>
      <c r="E83">
        <v>-632</v>
      </c>
      <c r="F83">
        <v>-331</v>
      </c>
      <c r="G83">
        <v>-7373</v>
      </c>
      <c r="H83">
        <v>-6485</v>
      </c>
      <c r="I83">
        <v>-1071</v>
      </c>
      <c r="J83">
        <v>-5093</v>
      </c>
      <c r="K83">
        <v>-1864</v>
      </c>
    </row>
    <row r="84" spans="1:11" s="6" customFormat="1" x14ac:dyDescent="0.3">
      <c r="A84" s="6" t="s">
        <v>49</v>
      </c>
      <c r="B84">
        <v>-6813</v>
      </c>
      <c r="C84">
        <v>-6939</v>
      </c>
      <c r="D84">
        <v>-20505</v>
      </c>
      <c r="E84">
        <v>-14512</v>
      </c>
      <c r="F84">
        <v>-17591</v>
      </c>
      <c r="G84">
        <v>-9786</v>
      </c>
      <c r="H84">
        <v>-24642</v>
      </c>
      <c r="I84">
        <v>-26695</v>
      </c>
      <c r="J84">
        <v>-17504</v>
      </c>
      <c r="K84">
        <v>-24161</v>
      </c>
    </row>
    <row r="85" spans="1:11" s="1" customFormat="1" x14ac:dyDescent="0.3">
      <c r="A85" s="6" t="s">
        <v>50</v>
      </c>
      <c r="B85">
        <v>2330</v>
      </c>
      <c r="C85">
        <v>-10072</v>
      </c>
      <c r="D85">
        <v>-2754</v>
      </c>
      <c r="E85">
        <v>-303</v>
      </c>
      <c r="F85">
        <v>-919</v>
      </c>
      <c r="G85">
        <v>6065</v>
      </c>
      <c r="H85">
        <v>-7242</v>
      </c>
      <c r="I85">
        <v>-5299</v>
      </c>
      <c r="J85">
        <v>2613</v>
      </c>
      <c r="K85">
        <v>9669</v>
      </c>
    </row>
    <row r="86" spans="1:11" x14ac:dyDescent="0.3">
      <c r="A86" s="6"/>
    </row>
    <row r="87" spans="1:11" x14ac:dyDescent="0.3">
      <c r="A87" s="6"/>
    </row>
    <row r="88" spans="1:11" x14ac:dyDescent="0.3">
      <c r="A88" s="6"/>
    </row>
    <row r="89" spans="1:11" x14ac:dyDescent="0.3">
      <c r="A89" s="6"/>
    </row>
    <row r="90" spans="1:11" s="1" customFormat="1" x14ac:dyDescent="0.3">
      <c r="A90" s="1" t="s">
        <v>51</v>
      </c>
      <c r="B90">
        <v>609.15</v>
      </c>
      <c r="C90">
        <v>511.13</v>
      </c>
      <c r="D90">
        <v>565.9</v>
      </c>
      <c r="E90">
        <v>743.85</v>
      </c>
      <c r="F90">
        <v>641.5</v>
      </c>
      <c r="G90">
        <v>1368.05</v>
      </c>
      <c r="H90">
        <v>1906.85</v>
      </c>
      <c r="I90">
        <v>1427.95</v>
      </c>
      <c r="J90">
        <v>1498.05</v>
      </c>
      <c r="K90">
        <v>1570.65</v>
      </c>
    </row>
    <row r="92" spans="1:11" s="1" customFormat="1" x14ac:dyDescent="0.3">
      <c r="A92" s="1" t="s">
        <v>52</v>
      </c>
    </row>
    <row r="93" spans="1:11" x14ac:dyDescent="0.3">
      <c r="A93" s="2" t="s">
        <v>53</v>
      </c>
      <c r="B93" s="2">
        <v>459.39</v>
      </c>
      <c r="C93" s="2">
        <v>459.39</v>
      </c>
      <c r="D93" s="2">
        <v>436.82</v>
      </c>
      <c r="E93" s="2">
        <v>436.89</v>
      </c>
      <c r="F93" s="2">
        <v>425.9</v>
      </c>
      <c r="G93" s="2">
        <v>426.07</v>
      </c>
      <c r="H93" s="2">
        <v>420.67</v>
      </c>
      <c r="I93" s="2">
        <v>414.86</v>
      </c>
      <c r="J93" s="2">
        <v>415.09</v>
      </c>
      <c r="K93" s="2">
        <v>415.33</v>
      </c>
    </row>
  </sheetData>
  <mergeCells count="2">
    <mergeCell ref="E1:K1"/>
    <mergeCell ref="E2:K2"/>
  </mergeCells>
  <conditionalFormatting sqref="E1:K1">
    <cfRule type="cellIs" dxfId="0" priority="1" operator="notEqual">
      <formula>""</formula>
    </cfRule>
  </conditionalFormatting>
  <hyperlinks>
    <hyperlink ref="E1:K1" r:id="rId1" display="https://www.screener.in/excel/" xr:uid="{ED64A159-C674-4BC7-BC9F-AB2DCE39A6DC}"/>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39D67B-CB21-49F8-B88C-1A7252425936}">
  <dimension ref="A2:P65"/>
  <sheetViews>
    <sheetView showGridLines="0" tabSelected="1" zoomScale="80" zoomScaleNormal="80" workbookViewId="0">
      <pane ySplit="2" topLeftCell="A3" activePane="bottomLeft" state="frozen"/>
      <selection pane="bottomLeft" activeCell="J49" sqref="J49"/>
    </sheetView>
  </sheetViews>
  <sheetFormatPr defaultRowHeight="14.4" x14ac:dyDescent="0.3"/>
  <cols>
    <col min="1" max="1" width="1.88671875" customWidth="1"/>
    <col min="2" max="2" width="34.44140625" bestFit="1" customWidth="1"/>
    <col min="3" max="5" width="11" bestFit="1" customWidth="1"/>
    <col min="6" max="6" width="10.5546875" bestFit="1" customWidth="1"/>
    <col min="7" max="8" width="11" bestFit="1" customWidth="1"/>
    <col min="9" max="9" width="10.5546875" bestFit="1" customWidth="1"/>
    <col min="10" max="10" width="11" bestFit="1" customWidth="1"/>
    <col min="11" max="11" width="11.44140625" bestFit="1" customWidth="1"/>
    <col min="12" max="14" width="11.88671875" bestFit="1" customWidth="1"/>
  </cols>
  <sheetData>
    <row r="2" spans="1:15" x14ac:dyDescent="0.3">
      <c r="B2" s="27" t="s">
        <v>282</v>
      </c>
      <c r="C2" s="28">
        <v>41699</v>
      </c>
      <c r="D2" s="28">
        <v>42064</v>
      </c>
      <c r="E2" s="28">
        <v>42430</v>
      </c>
      <c r="F2" s="28">
        <v>42795</v>
      </c>
      <c r="G2" s="28">
        <v>43160</v>
      </c>
      <c r="H2" s="28">
        <v>43525</v>
      </c>
      <c r="I2" s="28">
        <v>43891</v>
      </c>
      <c r="J2" s="28">
        <v>44256</v>
      </c>
      <c r="K2" s="28">
        <v>44621</v>
      </c>
      <c r="L2" s="28">
        <v>44986</v>
      </c>
      <c r="M2" s="27">
        <v>45352</v>
      </c>
      <c r="N2" s="28">
        <v>45717</v>
      </c>
    </row>
    <row r="3" spans="1:15" x14ac:dyDescent="0.3">
      <c r="A3" s="142"/>
      <c r="O3" s="143"/>
    </row>
    <row r="4" spans="1:15" x14ac:dyDescent="0.3">
      <c r="B4" s="25" t="s">
        <v>270</v>
      </c>
      <c r="C4" s="100">
        <v>286</v>
      </c>
      <c r="D4" s="100">
        <v>572</v>
      </c>
      <c r="E4" s="100">
        <v>1144</v>
      </c>
      <c r="F4" s="100">
        <v>1144</v>
      </c>
      <c r="G4" s="100">
        <v>1088</v>
      </c>
      <c r="H4" s="100">
        <v>2170</v>
      </c>
      <c r="I4" s="100">
        <v>2122</v>
      </c>
      <c r="J4" s="100">
        <v>2124</v>
      </c>
      <c r="K4" s="100">
        <v>2098</v>
      </c>
      <c r="L4" s="100">
        <v>2069</v>
      </c>
      <c r="M4" s="100">
        <v>2071</v>
      </c>
      <c r="N4" s="100">
        <v>2073</v>
      </c>
    </row>
    <row r="5" spans="1:15" x14ac:dyDescent="0.3">
      <c r="B5" s="25" t="s">
        <v>32</v>
      </c>
      <c r="C5" s="100">
        <v>44244</v>
      </c>
      <c r="D5" s="100">
        <v>50164</v>
      </c>
      <c r="E5" s="100">
        <v>60600</v>
      </c>
      <c r="F5" s="100">
        <v>67838</v>
      </c>
      <c r="G5" s="100">
        <v>63835</v>
      </c>
      <c r="H5" s="100">
        <v>62778</v>
      </c>
      <c r="I5" s="100">
        <v>63328</v>
      </c>
      <c r="J5" s="100">
        <v>74227</v>
      </c>
      <c r="K5" s="100">
        <v>73252</v>
      </c>
      <c r="L5" s="100">
        <v>73338</v>
      </c>
      <c r="M5" s="100">
        <v>86045</v>
      </c>
      <c r="N5" s="100">
        <v>93745</v>
      </c>
    </row>
    <row r="6" spans="1:15" x14ac:dyDescent="0.3">
      <c r="B6" s="25" t="s">
        <v>280</v>
      </c>
      <c r="C6" s="100"/>
      <c r="D6" s="100"/>
      <c r="E6" s="100"/>
      <c r="F6" s="100"/>
      <c r="G6" s="100"/>
      <c r="H6" s="100"/>
      <c r="I6" s="100"/>
      <c r="J6" s="100"/>
      <c r="K6" s="100"/>
      <c r="L6" s="100"/>
      <c r="M6" s="100"/>
      <c r="N6" s="100"/>
    </row>
    <row r="7" spans="1:15" x14ac:dyDescent="0.3">
      <c r="B7" t="s">
        <v>271</v>
      </c>
      <c r="C7" s="100">
        <v>0</v>
      </c>
      <c r="D7" s="100">
        <v>0</v>
      </c>
      <c r="E7" s="100">
        <v>0</v>
      </c>
      <c r="F7" s="100">
        <v>0</v>
      </c>
      <c r="G7" s="100">
        <v>0</v>
      </c>
      <c r="H7" s="100">
        <v>0</v>
      </c>
      <c r="I7" s="100">
        <v>4633</v>
      </c>
      <c r="J7" s="100">
        <v>5325</v>
      </c>
      <c r="K7" s="100">
        <v>5474</v>
      </c>
      <c r="L7" s="100">
        <v>8299</v>
      </c>
      <c r="M7" s="100">
        <v>8359</v>
      </c>
      <c r="N7" s="100">
        <v>8227</v>
      </c>
    </row>
    <row r="8" spans="1:15" x14ac:dyDescent="0.3">
      <c r="B8" s="25" t="s">
        <v>272</v>
      </c>
      <c r="C8" s="144"/>
      <c r="D8" s="144"/>
      <c r="E8" s="144"/>
      <c r="F8" s="144"/>
      <c r="G8" s="144"/>
      <c r="H8" s="144"/>
      <c r="I8" s="144"/>
      <c r="J8" s="144"/>
      <c r="K8" s="144"/>
      <c r="L8" s="144"/>
      <c r="M8" s="144"/>
      <c r="N8" s="144"/>
    </row>
    <row r="9" spans="1:15" x14ac:dyDescent="0.3">
      <c r="B9" t="s">
        <v>273</v>
      </c>
      <c r="C9" s="100">
        <v>0</v>
      </c>
      <c r="D9" s="100">
        <v>0</v>
      </c>
      <c r="E9" s="100">
        <v>0</v>
      </c>
      <c r="F9" s="100">
        <v>0</v>
      </c>
      <c r="G9" s="100">
        <v>1</v>
      </c>
      <c r="H9" s="100">
        <v>58</v>
      </c>
      <c r="I9" s="100">
        <v>394</v>
      </c>
      <c r="J9" s="100">
        <v>431</v>
      </c>
      <c r="K9" s="100">
        <v>386</v>
      </c>
      <c r="L9" s="100">
        <v>388</v>
      </c>
      <c r="M9" s="100">
        <v>345</v>
      </c>
      <c r="N9" s="100">
        <v>385</v>
      </c>
    </row>
    <row r="10" spans="1:15" x14ac:dyDescent="0.3">
      <c r="B10" t="s">
        <v>219</v>
      </c>
      <c r="C10" s="100">
        <v>173</v>
      </c>
      <c r="D10" s="100">
        <v>140</v>
      </c>
      <c r="E10" s="100">
        <v>386</v>
      </c>
      <c r="F10" s="100">
        <v>367</v>
      </c>
      <c r="G10" s="100">
        <v>694</v>
      </c>
      <c r="H10" s="100">
        <v>1655</v>
      </c>
      <c r="I10" s="100">
        <v>2852</v>
      </c>
      <c r="J10" s="100">
        <v>2645</v>
      </c>
      <c r="K10" s="100">
        <v>4134</v>
      </c>
      <c r="L10" s="100">
        <v>3865</v>
      </c>
      <c r="M10" s="100">
        <v>3956</v>
      </c>
      <c r="N10" s="100">
        <v>4164</v>
      </c>
    </row>
    <row r="11" spans="1:15" x14ac:dyDescent="0.3">
      <c r="B11" t="s">
        <v>220</v>
      </c>
      <c r="C11" s="100">
        <v>40</v>
      </c>
      <c r="D11" s="100">
        <v>27</v>
      </c>
      <c r="E11" s="100">
        <v>28</v>
      </c>
      <c r="F11" s="100">
        <v>0</v>
      </c>
      <c r="G11" s="100">
        <v>0</v>
      </c>
      <c r="H11" s="100">
        <v>0</v>
      </c>
      <c r="I11" s="100">
        <v>0</v>
      </c>
      <c r="J11" s="100">
        <v>0</v>
      </c>
      <c r="K11" s="100">
        <v>0</v>
      </c>
      <c r="L11" s="100">
        <v>0</v>
      </c>
      <c r="M11" s="100">
        <v>0</v>
      </c>
      <c r="N11" s="100">
        <v>0</v>
      </c>
    </row>
    <row r="12" spans="1:15" x14ac:dyDescent="0.3">
      <c r="B12" t="s">
        <v>221</v>
      </c>
      <c r="C12" s="101">
        <v>12223</v>
      </c>
      <c r="D12" s="101">
        <v>15386</v>
      </c>
      <c r="E12" s="101">
        <v>12940</v>
      </c>
      <c r="F12" s="101">
        <v>13799</v>
      </c>
      <c r="G12" s="101">
        <v>13731</v>
      </c>
      <c r="H12" s="101">
        <v>17405</v>
      </c>
      <c r="I12" s="101">
        <v>18471</v>
      </c>
      <c r="J12" s="101">
        <v>22759</v>
      </c>
      <c r="K12" s="101">
        <v>31385</v>
      </c>
      <c r="L12" s="101">
        <v>36637</v>
      </c>
      <c r="M12" s="101">
        <v>36584</v>
      </c>
      <c r="N12" s="101">
        <v>39201</v>
      </c>
    </row>
    <row r="13" spans="1:15" x14ac:dyDescent="0.3">
      <c r="B13" s="140" t="s">
        <v>274</v>
      </c>
      <c r="C13" s="140">
        <v>56966</v>
      </c>
      <c r="D13" s="140">
        <v>66289</v>
      </c>
      <c r="E13" s="140">
        <v>75098</v>
      </c>
      <c r="F13" s="140">
        <v>83148</v>
      </c>
      <c r="G13" s="140">
        <v>79349</v>
      </c>
      <c r="H13" s="140">
        <v>84066</v>
      </c>
      <c r="I13" s="140">
        <v>91800</v>
      </c>
      <c r="J13" s="140">
        <v>107511</v>
      </c>
      <c r="K13" s="140">
        <v>116729</v>
      </c>
      <c r="L13" s="140">
        <v>124596</v>
      </c>
      <c r="M13" s="140">
        <v>137360</v>
      </c>
      <c r="N13" s="140">
        <v>147795</v>
      </c>
      <c r="O13" s="101"/>
    </row>
    <row r="14" spans="1:15" ht="15" thickBot="1" x14ac:dyDescent="0.35">
      <c r="B14" s="145"/>
      <c r="C14" s="146"/>
      <c r="D14" s="146"/>
      <c r="E14" s="146"/>
      <c r="F14" s="146"/>
      <c r="G14" s="146"/>
      <c r="H14" s="146"/>
      <c r="I14" s="146"/>
      <c r="J14" s="146"/>
      <c r="K14" s="146"/>
      <c r="L14" s="146"/>
      <c r="M14" s="146"/>
      <c r="N14" s="146"/>
    </row>
    <row r="15" spans="1:15" x14ac:dyDescent="0.3">
      <c r="B15" s="25" t="s">
        <v>275</v>
      </c>
      <c r="C15" s="137"/>
      <c r="D15" s="137"/>
      <c r="E15" s="137"/>
      <c r="F15" s="137"/>
      <c r="G15" s="137"/>
      <c r="H15" s="137"/>
      <c r="I15" s="137"/>
      <c r="J15" s="137"/>
      <c r="K15" s="137"/>
      <c r="L15" s="137"/>
      <c r="M15" s="137"/>
      <c r="N15" s="137"/>
    </row>
    <row r="16" spans="1:15" x14ac:dyDescent="0.3">
      <c r="B16" t="s">
        <v>225</v>
      </c>
      <c r="C16" s="100">
        <v>1142</v>
      </c>
      <c r="D16" s="100">
        <v>1564</v>
      </c>
      <c r="E16" s="100">
        <v>1622</v>
      </c>
      <c r="F16" s="100">
        <v>1095</v>
      </c>
      <c r="G16" s="100">
        <v>1229</v>
      </c>
      <c r="H16" s="100">
        <v>1307</v>
      </c>
      <c r="I16" s="100">
        <v>1950</v>
      </c>
      <c r="J16" s="100">
        <v>2036</v>
      </c>
      <c r="K16" s="100">
        <v>2065</v>
      </c>
      <c r="L16" s="100">
        <v>2054</v>
      </c>
      <c r="M16" s="100">
        <v>2037</v>
      </c>
      <c r="N16" s="100">
        <v>2079</v>
      </c>
    </row>
    <row r="17" spans="2:16" x14ac:dyDescent="0.3">
      <c r="B17" t="s">
        <v>226</v>
      </c>
      <c r="C17" s="100">
        <v>5238</v>
      </c>
      <c r="D17" s="100">
        <v>6102</v>
      </c>
      <c r="E17" s="100">
        <v>6325</v>
      </c>
      <c r="F17" s="100">
        <v>8419</v>
      </c>
      <c r="G17" s="100">
        <v>9334</v>
      </c>
      <c r="H17" s="100">
        <v>10270</v>
      </c>
      <c r="I17" s="100">
        <v>15104</v>
      </c>
      <c r="J17" s="100">
        <v>16328</v>
      </c>
      <c r="K17" s="100">
        <v>16761</v>
      </c>
      <c r="L17" s="100">
        <v>16903</v>
      </c>
      <c r="M17" s="100">
        <v>16515</v>
      </c>
      <c r="N17" s="100">
        <v>16376</v>
      </c>
    </row>
    <row r="18" spans="2:16" x14ac:dyDescent="0.3">
      <c r="B18" t="s">
        <v>227</v>
      </c>
      <c r="C18" s="100">
        <v>1150</v>
      </c>
      <c r="D18" s="100">
        <v>1427</v>
      </c>
      <c r="E18" s="100">
        <v>1759</v>
      </c>
      <c r="F18" s="100">
        <v>2048</v>
      </c>
      <c r="G18" s="100">
        <v>2306</v>
      </c>
      <c r="H18" s="100">
        <v>2709</v>
      </c>
      <c r="I18" s="100">
        <v>3185</v>
      </c>
      <c r="J18" s="100">
        <v>3296</v>
      </c>
      <c r="K18" s="100">
        <v>3210</v>
      </c>
      <c r="L18" s="100">
        <v>3302</v>
      </c>
      <c r="M18" s="100">
        <v>3428</v>
      </c>
      <c r="N18" s="100">
        <v>3461</v>
      </c>
    </row>
    <row r="19" spans="2:16" x14ac:dyDescent="0.3">
      <c r="B19" t="s">
        <v>228</v>
      </c>
      <c r="C19" s="100">
        <v>551</v>
      </c>
      <c r="D19" s="100">
        <v>676</v>
      </c>
      <c r="E19" s="100">
        <v>839</v>
      </c>
      <c r="F19" s="100">
        <v>922</v>
      </c>
      <c r="G19" s="100">
        <v>1002</v>
      </c>
      <c r="H19" s="100">
        <v>1101</v>
      </c>
      <c r="I19" s="100">
        <v>1265</v>
      </c>
      <c r="J19" s="100">
        <v>1371</v>
      </c>
      <c r="K19" s="100">
        <v>1427</v>
      </c>
      <c r="L19" s="100">
        <v>1482</v>
      </c>
      <c r="M19" s="100">
        <v>1528</v>
      </c>
      <c r="N19" s="100">
        <v>1628</v>
      </c>
    </row>
    <row r="20" spans="2:16" x14ac:dyDescent="0.3">
      <c r="B20" t="s">
        <v>276</v>
      </c>
      <c r="C20" s="100">
        <v>2659</v>
      </c>
      <c r="D20" s="100">
        <v>3347</v>
      </c>
      <c r="E20" s="100">
        <v>4486</v>
      </c>
      <c r="F20" s="100">
        <v>4945</v>
      </c>
      <c r="G20" s="100">
        <v>4903</v>
      </c>
      <c r="H20" s="100">
        <v>6287</v>
      </c>
      <c r="I20" s="100">
        <v>7423</v>
      </c>
      <c r="J20" s="100">
        <v>8650</v>
      </c>
      <c r="K20" s="100">
        <v>9936</v>
      </c>
      <c r="L20" s="100">
        <v>11898</v>
      </c>
      <c r="M20" s="100">
        <v>12353</v>
      </c>
      <c r="N20" s="100">
        <v>12925</v>
      </c>
    </row>
    <row r="21" spans="2:16" x14ac:dyDescent="0.3">
      <c r="B21" t="s">
        <v>229</v>
      </c>
      <c r="C21" s="100">
        <v>805</v>
      </c>
      <c r="D21" s="100">
        <v>958</v>
      </c>
      <c r="E21" s="100">
        <v>1444</v>
      </c>
      <c r="F21" s="100">
        <v>1277</v>
      </c>
      <c r="G21" s="100">
        <v>1393</v>
      </c>
      <c r="H21" s="100">
        <v>1620</v>
      </c>
      <c r="I21" s="100">
        <v>2073</v>
      </c>
      <c r="J21" s="100">
        <v>2149</v>
      </c>
      <c r="K21" s="100">
        <v>2279</v>
      </c>
      <c r="L21" s="100">
        <v>2303</v>
      </c>
      <c r="M21" s="100">
        <v>2326</v>
      </c>
      <c r="N21" s="100">
        <v>2340</v>
      </c>
    </row>
    <row r="22" spans="2:16" x14ac:dyDescent="0.3">
      <c r="B22" t="s">
        <v>230</v>
      </c>
      <c r="C22" s="100">
        <v>35</v>
      </c>
      <c r="D22" s="100">
        <v>34</v>
      </c>
      <c r="E22" s="100">
        <v>29</v>
      </c>
      <c r="F22" s="100">
        <v>31</v>
      </c>
      <c r="G22" s="100">
        <v>31</v>
      </c>
      <c r="H22" s="100">
        <v>38</v>
      </c>
      <c r="I22" s="100">
        <v>69</v>
      </c>
      <c r="J22" s="100">
        <v>74</v>
      </c>
      <c r="K22" s="100">
        <v>71</v>
      </c>
      <c r="L22" s="100">
        <v>60</v>
      </c>
      <c r="M22" s="100">
        <v>62</v>
      </c>
      <c r="N22" s="100">
        <v>72</v>
      </c>
    </row>
    <row r="23" spans="2:16" x14ac:dyDescent="0.3">
      <c r="B23" t="s">
        <v>231</v>
      </c>
      <c r="C23" s="100">
        <v>2244</v>
      </c>
      <c r="D23" s="100">
        <v>3637</v>
      </c>
      <c r="E23" s="100">
        <v>3858</v>
      </c>
      <c r="F23" s="100">
        <v>3743</v>
      </c>
      <c r="G23" s="100">
        <v>2237</v>
      </c>
      <c r="H23" s="100">
        <v>3640</v>
      </c>
      <c r="I23" s="100">
        <v>5527</v>
      </c>
      <c r="J23" s="100">
        <v>6372</v>
      </c>
      <c r="K23" s="100">
        <v>6495</v>
      </c>
      <c r="L23" s="100">
        <v>7594</v>
      </c>
      <c r="M23" s="100">
        <v>7653</v>
      </c>
      <c r="N23" s="100">
        <v>10626</v>
      </c>
    </row>
    <row r="24" spans="2:16" x14ac:dyDescent="0.3">
      <c r="B24" t="s">
        <v>232</v>
      </c>
      <c r="C24" s="100">
        <v>126</v>
      </c>
      <c r="D24" s="100">
        <v>71</v>
      </c>
      <c r="E24" s="100">
        <v>931</v>
      </c>
      <c r="F24" s="100">
        <v>899</v>
      </c>
      <c r="G24" s="100">
        <v>545</v>
      </c>
      <c r="H24" s="100">
        <v>1093</v>
      </c>
      <c r="I24" s="100">
        <v>2289</v>
      </c>
      <c r="J24" s="100">
        <v>2730</v>
      </c>
      <c r="K24" s="100">
        <v>2766</v>
      </c>
      <c r="L24" s="100">
        <v>3281</v>
      </c>
      <c r="M24" s="100">
        <v>3294</v>
      </c>
      <c r="N24" s="100">
        <v>5184</v>
      </c>
    </row>
    <row r="25" spans="2:16" x14ac:dyDescent="0.3">
      <c r="B25" s="25" t="s">
        <v>233</v>
      </c>
      <c r="C25" s="106">
        <v>13950</v>
      </c>
      <c r="D25" s="106">
        <v>17816</v>
      </c>
      <c r="E25" s="106">
        <v>21293</v>
      </c>
      <c r="F25" s="106">
        <v>23379</v>
      </c>
      <c r="G25" s="106">
        <v>22980</v>
      </c>
      <c r="H25" s="106">
        <v>28065</v>
      </c>
      <c r="I25" s="106">
        <v>38885</v>
      </c>
      <c r="J25" s="106">
        <v>43006</v>
      </c>
      <c r="K25" s="106">
        <v>45010</v>
      </c>
      <c r="L25" s="106">
        <v>48877</v>
      </c>
      <c r="M25" s="106">
        <v>49196</v>
      </c>
      <c r="N25" s="106">
        <v>54691</v>
      </c>
      <c r="O25" s="101"/>
    </row>
    <row r="26" spans="2:16" x14ac:dyDescent="0.3">
      <c r="B26" s="25" t="s">
        <v>234</v>
      </c>
      <c r="C26" s="101">
        <v>5572</v>
      </c>
      <c r="D26" s="101">
        <v>6470</v>
      </c>
      <c r="E26" s="101">
        <v>7907</v>
      </c>
      <c r="F26" s="101">
        <v>9200</v>
      </c>
      <c r="G26" s="101">
        <v>10406</v>
      </c>
      <c r="H26" s="101">
        <v>12355</v>
      </c>
      <c r="I26" s="101">
        <v>15096</v>
      </c>
      <c r="J26" s="101">
        <v>17501</v>
      </c>
      <c r="K26" s="101">
        <v>19210</v>
      </c>
      <c r="L26" s="101">
        <v>19652</v>
      </c>
      <c r="M26" s="101">
        <v>21574</v>
      </c>
      <c r="N26" s="101">
        <v>23730</v>
      </c>
    </row>
    <row r="27" spans="2:16" x14ac:dyDescent="0.3">
      <c r="B27" s="102" t="s">
        <v>36</v>
      </c>
      <c r="C27" s="103">
        <f>C25-C26</f>
        <v>8378</v>
      </c>
      <c r="D27" s="103">
        <f t="shared" ref="D27:N27" si="0">D25-D26</f>
        <v>11346</v>
      </c>
      <c r="E27" s="103">
        <f t="shared" si="0"/>
        <v>13386</v>
      </c>
      <c r="F27" s="103">
        <f t="shared" si="0"/>
        <v>14179</v>
      </c>
      <c r="G27" s="103">
        <f t="shared" si="0"/>
        <v>12574</v>
      </c>
      <c r="H27" s="103">
        <f t="shared" si="0"/>
        <v>15710</v>
      </c>
      <c r="I27" s="103">
        <f t="shared" si="0"/>
        <v>23789</v>
      </c>
      <c r="J27" s="103">
        <f t="shared" si="0"/>
        <v>25505</v>
      </c>
      <c r="K27" s="103">
        <f t="shared" si="0"/>
        <v>25800</v>
      </c>
      <c r="L27" s="103">
        <f t="shared" si="0"/>
        <v>29225</v>
      </c>
      <c r="M27" s="103">
        <f t="shared" si="0"/>
        <v>27622</v>
      </c>
      <c r="N27" s="103">
        <f t="shared" si="0"/>
        <v>30961</v>
      </c>
      <c r="P27" s="191"/>
    </row>
    <row r="28" spans="2:16" x14ac:dyDescent="0.3">
      <c r="B28" s="139"/>
      <c r="C28" s="135"/>
      <c r="D28" s="135"/>
      <c r="E28" s="135"/>
      <c r="F28" s="135"/>
      <c r="G28" s="135"/>
      <c r="H28" s="135"/>
      <c r="I28" s="135"/>
      <c r="J28" s="135"/>
      <c r="K28" s="135"/>
      <c r="L28" s="135"/>
      <c r="M28" s="135"/>
      <c r="N28" s="135"/>
    </row>
    <row r="29" spans="2:16" x14ac:dyDescent="0.3">
      <c r="B29" s="25" t="s">
        <v>277</v>
      </c>
      <c r="C29" s="100">
        <v>961</v>
      </c>
      <c r="D29" s="100">
        <v>776</v>
      </c>
      <c r="E29" s="100">
        <v>960</v>
      </c>
      <c r="F29" s="100">
        <v>1365</v>
      </c>
      <c r="G29" s="100">
        <v>1606</v>
      </c>
      <c r="H29" s="100">
        <v>1388</v>
      </c>
      <c r="I29" s="100">
        <v>954</v>
      </c>
      <c r="J29" s="100">
        <v>922</v>
      </c>
      <c r="K29" s="100">
        <v>416</v>
      </c>
      <c r="L29" s="100">
        <v>288</v>
      </c>
      <c r="M29" s="100">
        <v>293</v>
      </c>
      <c r="N29" s="100">
        <v>814</v>
      </c>
      <c r="P29" s="101"/>
    </row>
    <row r="30" spans="2:16" x14ac:dyDescent="0.3">
      <c r="B30" s="25" t="s">
        <v>38</v>
      </c>
      <c r="C30" s="100">
        <v>4331</v>
      </c>
      <c r="D30" s="100">
        <v>2270</v>
      </c>
      <c r="E30" s="100">
        <v>1892</v>
      </c>
      <c r="F30" s="100">
        <v>16423</v>
      </c>
      <c r="G30" s="100">
        <v>12163</v>
      </c>
      <c r="H30" s="100">
        <v>11261</v>
      </c>
      <c r="I30" s="100">
        <v>8792</v>
      </c>
      <c r="J30" s="100">
        <v>14205</v>
      </c>
      <c r="K30" s="100">
        <v>20324</v>
      </c>
      <c r="L30" s="100">
        <v>19478</v>
      </c>
      <c r="M30" s="100">
        <v>24623</v>
      </c>
      <c r="N30" s="100">
        <v>23541</v>
      </c>
    </row>
    <row r="31" spans="2:16" ht="15" thickBot="1" x14ac:dyDescent="0.35">
      <c r="B31" s="138"/>
      <c r="C31" s="135"/>
      <c r="D31" s="135"/>
      <c r="E31" s="135"/>
      <c r="F31" s="135"/>
      <c r="G31" s="135"/>
      <c r="H31" s="135"/>
      <c r="I31" s="135"/>
      <c r="J31" s="135"/>
      <c r="K31" s="135"/>
      <c r="L31" s="135"/>
      <c r="M31" s="135"/>
      <c r="N31" s="135"/>
    </row>
    <row r="32" spans="2:16" x14ac:dyDescent="0.3">
      <c r="B32" s="25" t="s">
        <v>278</v>
      </c>
      <c r="C32" s="136"/>
      <c r="D32" s="136"/>
      <c r="E32" s="136"/>
      <c r="F32" s="136"/>
      <c r="G32" s="136"/>
      <c r="H32" s="136"/>
      <c r="I32" s="136"/>
      <c r="J32" s="136"/>
      <c r="K32" s="136"/>
      <c r="L32" s="136"/>
      <c r="M32" s="136"/>
      <c r="N32" s="136"/>
      <c r="P32" s="191"/>
    </row>
    <row r="33" spans="2:14" x14ac:dyDescent="0.3">
      <c r="B33" t="s">
        <v>215</v>
      </c>
      <c r="C33" s="100">
        <v>8351</v>
      </c>
      <c r="D33" s="100">
        <v>9713</v>
      </c>
      <c r="E33" s="100">
        <v>11330</v>
      </c>
      <c r="F33" s="100">
        <v>12322</v>
      </c>
      <c r="G33" s="100">
        <v>13142</v>
      </c>
      <c r="H33" s="100">
        <v>14827</v>
      </c>
      <c r="I33" s="100">
        <v>18487</v>
      </c>
      <c r="J33" s="100">
        <v>19294</v>
      </c>
      <c r="K33" s="100">
        <v>22698</v>
      </c>
      <c r="L33" s="100">
        <v>25424</v>
      </c>
      <c r="M33" s="100">
        <v>30193</v>
      </c>
      <c r="N33" s="100">
        <v>31158</v>
      </c>
    </row>
    <row r="34" spans="2:14" x14ac:dyDescent="0.3">
      <c r="B34" t="s">
        <v>279</v>
      </c>
      <c r="C34" s="100">
        <v>25950</v>
      </c>
      <c r="D34" s="100">
        <v>30367</v>
      </c>
      <c r="E34" s="100">
        <v>32697</v>
      </c>
      <c r="F34" s="100">
        <v>22625</v>
      </c>
      <c r="G34" s="100">
        <v>19818</v>
      </c>
      <c r="H34" s="100">
        <v>19568</v>
      </c>
      <c r="I34" s="100">
        <v>18649</v>
      </c>
      <c r="J34" s="100">
        <v>24714</v>
      </c>
      <c r="K34" s="100">
        <v>17472</v>
      </c>
      <c r="L34" s="100">
        <v>12173</v>
      </c>
      <c r="M34" s="100">
        <v>14786</v>
      </c>
      <c r="N34" s="100">
        <v>24455</v>
      </c>
    </row>
    <row r="35" spans="2:14" x14ac:dyDescent="0.3">
      <c r="B35" t="s">
        <v>216</v>
      </c>
      <c r="C35" s="100">
        <v>1484</v>
      </c>
      <c r="D35" s="100">
        <v>399</v>
      </c>
      <c r="E35" s="100">
        <v>614</v>
      </c>
      <c r="F35" s="100">
        <v>844</v>
      </c>
      <c r="G35" s="100">
        <v>830</v>
      </c>
      <c r="H35" s="100">
        <v>1524</v>
      </c>
      <c r="I35" s="100">
        <v>1359</v>
      </c>
      <c r="J35" s="100">
        <v>1460</v>
      </c>
      <c r="K35" s="100">
        <v>2491</v>
      </c>
      <c r="L35" s="100">
        <v>3242</v>
      </c>
      <c r="M35" s="100">
        <v>10330</v>
      </c>
      <c r="N35" s="100">
        <v>6717</v>
      </c>
    </row>
    <row r="36" spans="2:14" x14ac:dyDescent="0.3">
      <c r="B36" t="s">
        <v>217</v>
      </c>
      <c r="C36" s="141">
        <v>7511</v>
      </c>
      <c r="D36" s="141">
        <v>11418</v>
      </c>
      <c r="E36" s="141">
        <v>14219</v>
      </c>
      <c r="F36" s="141">
        <v>15390</v>
      </c>
      <c r="G36" s="141">
        <v>19216</v>
      </c>
      <c r="H36" s="141">
        <v>19788</v>
      </c>
      <c r="I36" s="141">
        <v>19770</v>
      </c>
      <c r="J36" s="141">
        <v>21411</v>
      </c>
      <c r="K36" s="141">
        <v>27528</v>
      </c>
      <c r="L36" s="141">
        <v>34766</v>
      </c>
      <c r="M36" s="141">
        <v>29513</v>
      </c>
      <c r="N36" s="141">
        <v>30149</v>
      </c>
    </row>
    <row r="37" spans="2:14" x14ac:dyDescent="0.3">
      <c r="B37" s="102" t="s">
        <v>85</v>
      </c>
      <c r="C37" s="103">
        <v>56966</v>
      </c>
      <c r="D37" s="103">
        <v>66289</v>
      </c>
      <c r="E37" s="103">
        <v>75098</v>
      </c>
      <c r="F37" s="103">
        <v>83148</v>
      </c>
      <c r="G37" s="103">
        <v>79349</v>
      </c>
      <c r="H37" s="103">
        <v>84066</v>
      </c>
      <c r="I37" s="103">
        <v>91800</v>
      </c>
      <c r="J37" s="103">
        <v>107511</v>
      </c>
      <c r="K37" s="103">
        <v>116729</v>
      </c>
      <c r="L37" s="103">
        <v>124596</v>
      </c>
      <c r="M37" s="103">
        <v>137360</v>
      </c>
      <c r="N37" s="103">
        <v>147795</v>
      </c>
    </row>
    <row r="38" spans="2:14" x14ac:dyDescent="0.3">
      <c r="B38" s="147"/>
      <c r="C38" s="7"/>
      <c r="D38" s="7"/>
      <c r="E38" s="7"/>
      <c r="F38" s="7"/>
      <c r="G38" s="7"/>
      <c r="H38" s="7"/>
      <c r="I38" s="7"/>
      <c r="J38" s="7"/>
      <c r="K38" s="7"/>
      <c r="L38" s="7"/>
      <c r="M38" s="7"/>
      <c r="N38" s="7"/>
    </row>
    <row r="39" spans="2:14" ht="15" thickBot="1" x14ac:dyDescent="0.35">
      <c r="B39" s="148"/>
      <c r="C39" s="148"/>
      <c r="D39" s="148"/>
      <c r="E39" s="148"/>
      <c r="F39" s="148"/>
      <c r="G39" s="148"/>
      <c r="H39" s="148"/>
      <c r="I39" s="148"/>
      <c r="J39" s="148"/>
      <c r="K39" s="148"/>
      <c r="L39" s="148"/>
      <c r="M39" s="148"/>
    </row>
    <row r="40" spans="2:14" ht="15" thickBot="1" x14ac:dyDescent="0.35">
      <c r="B40" s="149" t="s">
        <v>284</v>
      </c>
      <c r="C40" s="150">
        <v>9825</v>
      </c>
      <c r="D40" s="150">
        <v>8353</v>
      </c>
      <c r="E40" s="150">
        <v>10028</v>
      </c>
      <c r="F40" s="150">
        <v>11531</v>
      </c>
      <c r="G40" s="150">
        <v>13218</v>
      </c>
      <c r="H40" s="150">
        <v>14841</v>
      </c>
      <c r="I40" s="150">
        <v>17003</v>
      </c>
      <c r="J40" s="150">
        <v>23224</v>
      </c>
      <c r="K40" s="150">
        <v>23885</v>
      </c>
      <c r="L40" s="150">
        <v>22467</v>
      </c>
      <c r="M40" s="150">
        <v>25210</v>
      </c>
      <c r="N40" s="150">
        <v>35694</v>
      </c>
    </row>
    <row r="41" spans="2:14" x14ac:dyDescent="0.3">
      <c r="B41" s="151" t="s">
        <v>90</v>
      </c>
      <c r="C41" s="150">
        <v>14172</v>
      </c>
      <c r="D41" s="150">
        <v>15946</v>
      </c>
      <c r="E41" s="150">
        <v>17839</v>
      </c>
      <c r="F41" s="150">
        <v>19340</v>
      </c>
      <c r="G41" s="150">
        <v>19963</v>
      </c>
      <c r="H41" s="150">
        <v>22126</v>
      </c>
      <c r="I41" s="150">
        <v>23920</v>
      </c>
      <c r="J41" s="150">
        <v>28845</v>
      </c>
      <c r="K41" s="150">
        <v>32921</v>
      </c>
      <c r="L41" s="150">
        <v>37605</v>
      </c>
      <c r="M41" s="150">
        <v>39523</v>
      </c>
      <c r="N41" s="150">
        <v>41591</v>
      </c>
    </row>
    <row r="42" spans="2:14" x14ac:dyDescent="0.3">
      <c r="B42" s="152" t="s">
        <v>40</v>
      </c>
      <c r="C42" s="153">
        <v>-1406</v>
      </c>
      <c r="D42" s="153">
        <v>-1475</v>
      </c>
      <c r="E42" s="153">
        <v>-1654</v>
      </c>
      <c r="F42" s="153">
        <v>-1743</v>
      </c>
      <c r="G42" s="153">
        <v>-1523</v>
      </c>
      <c r="H42" s="153">
        <v>-2881</v>
      </c>
      <c r="I42" s="153">
        <v>-3861</v>
      </c>
      <c r="J42" s="153">
        <v>-1835</v>
      </c>
      <c r="K42" s="153">
        <v>-7937</v>
      </c>
      <c r="L42" s="153">
        <v>-7076</v>
      </c>
      <c r="M42" s="153">
        <v>-2667</v>
      </c>
      <c r="N42" s="153">
        <v>-1769</v>
      </c>
    </row>
    <row r="43" spans="2:14" x14ac:dyDescent="0.3">
      <c r="B43" s="152" t="s">
        <v>91</v>
      </c>
      <c r="C43" s="154">
        <v>0</v>
      </c>
      <c r="D43" s="154">
        <v>0</v>
      </c>
      <c r="E43" s="154">
        <v>242</v>
      </c>
      <c r="F43" s="154">
        <v>-19</v>
      </c>
      <c r="G43" s="154">
        <v>328</v>
      </c>
      <c r="H43" s="154">
        <v>916</v>
      </c>
      <c r="I43" s="154">
        <v>-373</v>
      </c>
      <c r="J43" s="154">
        <v>-245</v>
      </c>
      <c r="K43" s="153">
        <v>1489</v>
      </c>
      <c r="L43" s="154">
        <v>-279</v>
      </c>
      <c r="M43" s="154">
        <v>91</v>
      </c>
      <c r="N43" s="154">
        <v>176</v>
      </c>
    </row>
    <row r="44" spans="2:14" x14ac:dyDescent="0.3">
      <c r="B44" s="152" t="s">
        <v>92</v>
      </c>
      <c r="C44" s="153">
        <v>-1060</v>
      </c>
      <c r="D44" s="154">
        <v>-221</v>
      </c>
      <c r="E44" s="153">
        <v>-1134</v>
      </c>
      <c r="F44" s="154">
        <v>0</v>
      </c>
      <c r="G44" s="154">
        <v>0</v>
      </c>
      <c r="H44" s="154">
        <v>0</v>
      </c>
      <c r="I44" s="154">
        <v>0</v>
      </c>
      <c r="J44" s="154">
        <v>-534</v>
      </c>
      <c r="K44" s="153">
        <v>-1914</v>
      </c>
      <c r="L44" s="153">
        <v>-3108</v>
      </c>
      <c r="M44" s="153">
        <v>-1172</v>
      </c>
      <c r="N44" s="153">
        <v>-1024</v>
      </c>
    </row>
    <row r="45" spans="2:14" ht="15" thickBot="1" x14ac:dyDescent="0.35">
      <c r="B45" s="152" t="s">
        <v>93</v>
      </c>
      <c r="C45" s="153">
        <v>1993</v>
      </c>
      <c r="D45" s="154">
        <v>854</v>
      </c>
      <c r="E45" s="154">
        <v>600</v>
      </c>
      <c r="F45" s="154">
        <v>-394</v>
      </c>
      <c r="G45" s="153">
        <v>1279</v>
      </c>
      <c r="H45" s="153">
        <v>1512</v>
      </c>
      <c r="I45" s="153">
        <v>1867</v>
      </c>
      <c r="J45" s="153">
        <v>3382</v>
      </c>
      <c r="K45" s="153">
        <v>6938</v>
      </c>
      <c r="L45" s="153">
        <v>4119</v>
      </c>
      <c r="M45" s="153">
        <v>-1334</v>
      </c>
      <c r="N45" s="153">
        <v>2322</v>
      </c>
    </row>
    <row r="46" spans="2:14" x14ac:dyDescent="0.3">
      <c r="B46" s="151" t="s">
        <v>94</v>
      </c>
      <c r="C46" s="155">
        <v>-473</v>
      </c>
      <c r="D46" s="155">
        <v>-842</v>
      </c>
      <c r="E46" s="150">
        <v>-1946</v>
      </c>
      <c r="F46" s="150">
        <v>-2156</v>
      </c>
      <c r="G46" s="155">
        <v>84</v>
      </c>
      <c r="H46" s="155">
        <v>-453</v>
      </c>
      <c r="I46" s="150">
        <v>-2367</v>
      </c>
      <c r="J46" s="155">
        <v>768</v>
      </c>
      <c r="K46" s="150">
        <v>-1424</v>
      </c>
      <c r="L46" s="150">
        <v>-6344</v>
      </c>
      <c r="M46" s="150">
        <v>-5082</v>
      </c>
      <c r="N46" s="155">
        <v>-295</v>
      </c>
    </row>
    <row r="47" spans="2:14" ht="15" thickBot="1" x14ac:dyDescent="0.35">
      <c r="B47" s="152" t="s">
        <v>95</v>
      </c>
      <c r="C47" s="153">
        <v>-3874</v>
      </c>
      <c r="D47" s="153">
        <v>-6751</v>
      </c>
      <c r="E47" s="153">
        <v>-5865</v>
      </c>
      <c r="F47" s="153">
        <v>-5653</v>
      </c>
      <c r="G47" s="153">
        <v>-6829</v>
      </c>
      <c r="H47" s="153">
        <v>-6832</v>
      </c>
      <c r="I47" s="153">
        <v>-4550</v>
      </c>
      <c r="J47" s="153">
        <v>-6389</v>
      </c>
      <c r="K47" s="153">
        <v>-7612</v>
      </c>
      <c r="L47" s="153">
        <v>-8794</v>
      </c>
      <c r="M47" s="153">
        <v>-9231</v>
      </c>
      <c r="N47" s="153">
        <v>-5602</v>
      </c>
    </row>
    <row r="48" spans="2:14" x14ac:dyDescent="0.3">
      <c r="B48" s="156" t="s">
        <v>285</v>
      </c>
      <c r="C48" s="157">
        <v>-2563</v>
      </c>
      <c r="D48" s="158">
        <v>999</v>
      </c>
      <c r="E48" s="158">
        <v>-885</v>
      </c>
      <c r="F48" s="157">
        <v>-14664</v>
      </c>
      <c r="G48" s="157">
        <v>4533</v>
      </c>
      <c r="H48" s="158">
        <v>-632</v>
      </c>
      <c r="I48" s="158">
        <v>-331</v>
      </c>
      <c r="J48" s="157">
        <v>-7373</v>
      </c>
      <c r="K48" s="157">
        <v>-6485</v>
      </c>
      <c r="L48" s="157">
        <v>-1071</v>
      </c>
      <c r="M48" s="157">
        <v>-5093</v>
      </c>
      <c r="N48" s="157">
        <v>-1864</v>
      </c>
    </row>
    <row r="49" spans="2:14" x14ac:dyDescent="0.3">
      <c r="B49" s="159" t="s">
        <v>98</v>
      </c>
      <c r="C49" s="160">
        <v>-2748</v>
      </c>
      <c r="D49" s="160">
        <v>-2247</v>
      </c>
      <c r="E49" s="160">
        <v>-2723</v>
      </c>
      <c r="F49" s="160">
        <v>-2760</v>
      </c>
      <c r="G49" s="160">
        <v>-1998</v>
      </c>
      <c r="H49" s="160">
        <v>-2445</v>
      </c>
      <c r="I49" s="160">
        <v>-3307</v>
      </c>
      <c r="J49" s="160">
        <v>-2107</v>
      </c>
      <c r="K49" s="160">
        <v>-2161</v>
      </c>
      <c r="L49" s="160">
        <v>-2579</v>
      </c>
      <c r="M49" s="160">
        <v>-2201</v>
      </c>
      <c r="N49" s="160">
        <v>-2237</v>
      </c>
    </row>
    <row r="50" spans="2:14" x14ac:dyDescent="0.3">
      <c r="B50" s="159" t="s">
        <v>99</v>
      </c>
      <c r="C50" s="161">
        <v>3</v>
      </c>
      <c r="D50" s="161">
        <v>0</v>
      </c>
      <c r="E50" s="161">
        <v>0</v>
      </c>
      <c r="F50" s="161">
        <v>0</v>
      </c>
      <c r="G50" s="161">
        <v>0</v>
      </c>
      <c r="H50" s="161">
        <v>0</v>
      </c>
      <c r="I50" s="161">
        <v>0</v>
      </c>
      <c r="J50" s="161">
        <v>0</v>
      </c>
      <c r="K50" s="161">
        <v>0</v>
      </c>
      <c r="L50" s="161">
        <v>0</v>
      </c>
      <c r="M50" s="161">
        <v>0</v>
      </c>
      <c r="N50" s="161">
        <v>0</v>
      </c>
    </row>
    <row r="51" spans="2:14" x14ac:dyDescent="0.3">
      <c r="B51" s="159" t="s">
        <v>100</v>
      </c>
      <c r="C51" s="160">
        <v>-25046</v>
      </c>
      <c r="D51" s="160">
        <v>-23923</v>
      </c>
      <c r="E51" s="160">
        <v>-24577</v>
      </c>
      <c r="F51" s="160">
        <v>-66410</v>
      </c>
      <c r="G51" s="160">
        <v>-69159</v>
      </c>
      <c r="H51" s="160">
        <v>-79410</v>
      </c>
      <c r="I51" s="160">
        <v>-37482</v>
      </c>
      <c r="J51" s="160">
        <v>-46738</v>
      </c>
      <c r="K51" s="160">
        <v>-59951</v>
      </c>
      <c r="L51" s="160">
        <v>-75800</v>
      </c>
      <c r="M51" s="160">
        <v>-78118</v>
      </c>
      <c r="N51" s="160">
        <v>-82753</v>
      </c>
    </row>
    <row r="52" spans="2:14" x14ac:dyDescent="0.3">
      <c r="B52" s="159" t="s">
        <v>101</v>
      </c>
      <c r="C52" s="160">
        <v>22385</v>
      </c>
      <c r="D52" s="160">
        <v>25253</v>
      </c>
      <c r="E52" s="160">
        <v>24980</v>
      </c>
      <c r="F52" s="160">
        <v>52048</v>
      </c>
      <c r="G52" s="160">
        <v>74003</v>
      </c>
      <c r="H52" s="160">
        <v>78098</v>
      </c>
      <c r="I52" s="160">
        <v>38861</v>
      </c>
      <c r="J52" s="160">
        <v>40381</v>
      </c>
      <c r="K52" s="160">
        <v>57356</v>
      </c>
      <c r="L52" s="160">
        <v>76722</v>
      </c>
      <c r="M52" s="160">
        <v>72956</v>
      </c>
      <c r="N52" s="160">
        <v>84888</v>
      </c>
    </row>
    <row r="53" spans="2:14" x14ac:dyDescent="0.3">
      <c r="B53" s="159" t="s">
        <v>102</v>
      </c>
      <c r="C53" s="160">
        <v>2379</v>
      </c>
      <c r="D53" s="160">
        <v>2551</v>
      </c>
      <c r="E53" s="160">
        <v>2383</v>
      </c>
      <c r="F53" s="161">
        <v>0</v>
      </c>
      <c r="G53" s="161">
        <v>0</v>
      </c>
      <c r="H53" s="161">
        <v>0</v>
      </c>
      <c r="I53" s="161">
        <v>0</v>
      </c>
      <c r="J53" s="161">
        <v>0</v>
      </c>
      <c r="K53" s="161">
        <v>0</v>
      </c>
      <c r="L53" s="161">
        <v>0</v>
      </c>
      <c r="M53" s="161">
        <v>0</v>
      </c>
      <c r="N53" s="161">
        <v>0</v>
      </c>
    </row>
    <row r="54" spans="2:14" x14ac:dyDescent="0.3">
      <c r="B54" s="159" t="s">
        <v>281</v>
      </c>
      <c r="C54" s="161">
        <v>0</v>
      </c>
      <c r="D54" s="161">
        <v>0</v>
      </c>
      <c r="E54" s="161">
        <v>0</v>
      </c>
      <c r="F54" s="160">
        <v>2753</v>
      </c>
      <c r="G54" s="160">
        <v>1768</v>
      </c>
      <c r="H54" s="160">
        <v>1557</v>
      </c>
      <c r="I54" s="160">
        <v>1929</v>
      </c>
      <c r="J54" s="160">
        <v>1418</v>
      </c>
      <c r="K54" s="160">
        <v>1898</v>
      </c>
      <c r="L54" s="160">
        <v>1525</v>
      </c>
      <c r="M54" s="160">
        <v>1768</v>
      </c>
      <c r="N54" s="160">
        <v>2040</v>
      </c>
    </row>
    <row r="55" spans="2:14" x14ac:dyDescent="0.3">
      <c r="B55" s="159" t="s">
        <v>104</v>
      </c>
      <c r="C55" s="161">
        <v>0</v>
      </c>
      <c r="D55" s="160">
        <v>-1376</v>
      </c>
      <c r="E55" s="161">
        <v>-747</v>
      </c>
      <c r="F55" s="161">
        <v>0</v>
      </c>
      <c r="G55" s="161">
        <v>0</v>
      </c>
      <c r="H55" s="161">
        <v>0</v>
      </c>
      <c r="I55" s="161">
        <v>0</v>
      </c>
      <c r="J55" s="161">
        <v>0</v>
      </c>
      <c r="K55" s="161">
        <v>0</v>
      </c>
      <c r="L55" s="161">
        <v>0</v>
      </c>
      <c r="M55" s="161">
        <v>0</v>
      </c>
      <c r="N55" s="161">
        <v>0</v>
      </c>
    </row>
    <row r="56" spans="2:14" x14ac:dyDescent="0.3">
      <c r="B56" s="159" t="s">
        <v>105</v>
      </c>
      <c r="C56" s="161">
        <v>0</v>
      </c>
      <c r="D56" s="161">
        <v>0</v>
      </c>
      <c r="E56" s="161">
        <v>-142</v>
      </c>
      <c r="F56" s="161">
        <v>-164</v>
      </c>
      <c r="G56" s="161">
        <v>-130</v>
      </c>
      <c r="H56" s="161">
        <v>-24</v>
      </c>
      <c r="I56" s="161">
        <v>-108</v>
      </c>
      <c r="J56" s="161">
        <v>0</v>
      </c>
      <c r="K56" s="161">
        <v>0</v>
      </c>
      <c r="L56" s="161">
        <v>0</v>
      </c>
      <c r="M56" s="161">
        <v>0</v>
      </c>
      <c r="N56" s="161">
        <v>0</v>
      </c>
    </row>
    <row r="57" spans="2:14" ht="15" thickBot="1" x14ac:dyDescent="0.35">
      <c r="B57" s="159" t="s">
        <v>106</v>
      </c>
      <c r="C57" s="161">
        <v>464</v>
      </c>
      <c r="D57" s="161">
        <v>741</v>
      </c>
      <c r="E57" s="161">
        <v>-59</v>
      </c>
      <c r="F57" s="161">
        <v>-131</v>
      </c>
      <c r="G57" s="161">
        <v>49</v>
      </c>
      <c r="H57" s="160">
        <v>1592</v>
      </c>
      <c r="I57" s="161">
        <v>-224</v>
      </c>
      <c r="J57" s="161">
        <v>-327</v>
      </c>
      <c r="K57" s="160">
        <v>-3627</v>
      </c>
      <c r="L57" s="161">
        <v>-939</v>
      </c>
      <c r="M57" s="161">
        <v>502</v>
      </c>
      <c r="N57" s="160">
        <v>-3802</v>
      </c>
    </row>
    <row r="58" spans="2:14" x14ac:dyDescent="0.3">
      <c r="B58" s="149" t="s">
        <v>286</v>
      </c>
      <c r="C58" s="150">
        <v>-3144</v>
      </c>
      <c r="D58" s="150">
        <v>-4935</v>
      </c>
      <c r="E58" s="150">
        <v>-6813</v>
      </c>
      <c r="F58" s="150">
        <v>-6939</v>
      </c>
      <c r="G58" s="150">
        <v>-20505</v>
      </c>
      <c r="H58" s="150">
        <v>-14512</v>
      </c>
      <c r="I58" s="150">
        <v>-17591</v>
      </c>
      <c r="J58" s="150">
        <v>-9786</v>
      </c>
      <c r="K58" s="150">
        <v>-24642</v>
      </c>
      <c r="L58" s="150">
        <v>-26695</v>
      </c>
      <c r="M58" s="150">
        <v>-17504</v>
      </c>
      <c r="N58" s="150">
        <v>-24161</v>
      </c>
    </row>
    <row r="59" spans="2:14" x14ac:dyDescent="0.3">
      <c r="B59" s="152" t="s">
        <v>109</v>
      </c>
      <c r="C59" s="154">
        <v>0</v>
      </c>
      <c r="D59" s="154">
        <v>0</v>
      </c>
      <c r="E59" s="154">
        <v>0</v>
      </c>
      <c r="F59" s="154">
        <v>0</v>
      </c>
      <c r="G59" s="154">
        <v>5</v>
      </c>
      <c r="H59" s="154">
        <v>6</v>
      </c>
      <c r="I59" s="154">
        <v>6</v>
      </c>
      <c r="J59" s="154">
        <v>15</v>
      </c>
      <c r="K59" s="154">
        <v>21</v>
      </c>
      <c r="L59" s="154">
        <v>35</v>
      </c>
      <c r="M59" s="154">
        <v>5</v>
      </c>
      <c r="N59" s="154">
        <v>6</v>
      </c>
    </row>
    <row r="60" spans="2:14" x14ac:dyDescent="0.3">
      <c r="B60" s="152" t="s">
        <v>110</v>
      </c>
      <c r="C60" s="154">
        <v>0</v>
      </c>
      <c r="D60" s="154">
        <v>0</v>
      </c>
      <c r="E60" s="154">
        <v>0</v>
      </c>
      <c r="F60" s="154">
        <v>0</v>
      </c>
      <c r="G60" s="154">
        <v>0</v>
      </c>
      <c r="H60" s="154">
        <v>0</v>
      </c>
      <c r="I60" s="154">
        <v>0</v>
      </c>
      <c r="J60" s="154">
        <v>0</v>
      </c>
      <c r="K60" s="154">
        <v>0</v>
      </c>
      <c r="L60" s="154">
        <v>0</v>
      </c>
      <c r="M60" s="154">
        <v>0</v>
      </c>
      <c r="N60" s="154">
        <v>-985</v>
      </c>
    </row>
    <row r="61" spans="2:14" x14ac:dyDescent="0.3">
      <c r="B61" s="152" t="s">
        <v>111</v>
      </c>
      <c r="C61" s="153">
        <v>-3144</v>
      </c>
      <c r="D61" s="153">
        <v>-4935</v>
      </c>
      <c r="E61" s="153">
        <v>-6813</v>
      </c>
      <c r="F61" s="153">
        <v>-6939</v>
      </c>
      <c r="G61" s="153">
        <v>-7464</v>
      </c>
      <c r="H61" s="153">
        <v>-13705</v>
      </c>
      <c r="I61" s="153">
        <v>-9548</v>
      </c>
      <c r="J61" s="153">
        <v>-9137</v>
      </c>
      <c r="K61" s="153">
        <v>-12731</v>
      </c>
      <c r="L61" s="153">
        <v>-13653</v>
      </c>
      <c r="M61" s="153">
        <v>-14731</v>
      </c>
      <c r="N61" s="153">
        <v>-20289</v>
      </c>
    </row>
    <row r="62" spans="2:14" x14ac:dyDescent="0.3">
      <c r="B62" s="152" t="s">
        <v>112</v>
      </c>
      <c r="C62" s="154">
        <v>0</v>
      </c>
      <c r="D62" s="154">
        <v>0</v>
      </c>
      <c r="E62" s="154">
        <v>0</v>
      </c>
      <c r="F62" s="154">
        <v>0</v>
      </c>
      <c r="G62" s="154">
        <v>0</v>
      </c>
      <c r="H62" s="154">
        <v>0</v>
      </c>
      <c r="I62" s="154">
        <v>-571</v>
      </c>
      <c r="J62" s="154">
        <v>-698</v>
      </c>
      <c r="K62" s="154">
        <v>-915</v>
      </c>
      <c r="L62" s="153">
        <v>-1231</v>
      </c>
      <c r="M62" s="153">
        <v>-2024</v>
      </c>
      <c r="N62" s="153">
        <v>-2355</v>
      </c>
    </row>
    <row r="63" spans="2:14" ht="15" thickBot="1" x14ac:dyDescent="0.35">
      <c r="B63" s="152" t="s">
        <v>113</v>
      </c>
      <c r="C63" s="154">
        <v>0</v>
      </c>
      <c r="D63" s="154">
        <v>0</v>
      </c>
      <c r="E63" s="154">
        <v>0</v>
      </c>
      <c r="F63" s="154">
        <v>0</v>
      </c>
      <c r="G63" s="153">
        <v>-13046</v>
      </c>
      <c r="H63" s="154">
        <v>-813</v>
      </c>
      <c r="I63" s="153">
        <v>-7478</v>
      </c>
      <c r="J63" s="154">
        <v>34</v>
      </c>
      <c r="K63" s="153">
        <v>-11017</v>
      </c>
      <c r="L63" s="153">
        <v>-11846</v>
      </c>
      <c r="M63" s="154">
        <v>-754</v>
      </c>
      <c r="N63" s="154">
        <v>-538</v>
      </c>
    </row>
    <row r="64" spans="2:14" x14ac:dyDescent="0.3">
      <c r="B64" s="156" t="s">
        <v>50</v>
      </c>
      <c r="C64" s="157">
        <v>4118</v>
      </c>
      <c r="D64" s="157">
        <v>4417</v>
      </c>
      <c r="E64" s="157">
        <v>2330</v>
      </c>
      <c r="F64" s="157">
        <v>-10072</v>
      </c>
      <c r="G64" s="157">
        <v>-2754</v>
      </c>
      <c r="H64" s="158">
        <v>-303</v>
      </c>
      <c r="I64" s="158">
        <v>-919</v>
      </c>
      <c r="J64" s="157">
        <v>6065</v>
      </c>
      <c r="K64" s="157">
        <v>-7242</v>
      </c>
      <c r="L64" s="157">
        <v>-5299</v>
      </c>
      <c r="M64" s="157">
        <v>2613</v>
      </c>
      <c r="N64" s="157">
        <v>9669</v>
      </c>
    </row>
    <row r="65" spans="2:2" ht="23.4" x14ac:dyDescent="0.3">
      <c r="B65" s="16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DCF&gt;</vt:lpstr>
      <vt:lpstr>WACC</vt:lpstr>
      <vt:lpstr>Beta- Comparison</vt:lpstr>
      <vt:lpstr>Beta - Regression</vt:lpstr>
      <vt:lpstr>Market Return</vt:lpstr>
      <vt:lpstr>Intrinsic Growth</vt:lpstr>
      <vt:lpstr>DCF</vt:lpstr>
      <vt:lpstr>Dupont nalysis</vt:lpstr>
      <vt:lpstr>Altman's Z Score</vt:lpstr>
      <vt:lpstr>Data Room&gt;</vt:lpstr>
      <vt:lpstr>Historical FS</vt:lpstr>
      <vt:lpstr>Data Sheet</vt:lpstr>
      <vt:lpstr>Raw FS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 Pavilion</dc:creator>
  <cp:lastModifiedBy>HP Pavilion</cp:lastModifiedBy>
  <cp:lastPrinted>2026-03-23T15:58:17Z</cp:lastPrinted>
  <dcterms:created xsi:type="dcterms:W3CDTF">2026-03-08T11:45:13Z</dcterms:created>
  <dcterms:modified xsi:type="dcterms:W3CDTF">2026-04-13T19:22:03Z</dcterms:modified>
</cp:coreProperties>
</file>